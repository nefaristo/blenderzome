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iavi" sheetId="1" state="visible" r:id="rId1"/>
    <sheet name="Legenda" sheetId="2" state="visible" r:id="rId2"/>
    <sheet name="Materiali" sheetId="3" state="visible" r:id="rId3"/>
  </sheets>
  <definedNames>
    <definedName name="_xlnm._FilterDatabase" localSheetId="0" hidden="1">'Chiavi'!$A$8:$E$30</definedName>
    <definedName name="_xlnm._FilterDatabase" localSheetId="1" hidden="1">'Legenda'!$A$1:$B$10</definedName>
    <definedName name="_xlnm._FilterDatabase" localSheetId="2" hidden="1">'Materiali'!$A$1:$V$100</definedName>
  </definedNames>
  <calcPr calcId="124519" calcMode="auto"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font>
    <font>
      <b val="1"/>
    </font>
    <font>
      <color rgb="000563C1"/>
      <u val="single"/>
    </font>
    <font>
      <name val="Calibri"/>
      <color rgb="000563C1"/>
      <sz val="11"/>
      <u val="single"/>
    </font>
  </fonts>
  <fills count="4">
    <fill>
      <patternFill/>
    </fill>
    <fill>
      <patternFill patternType="gray125"/>
    </fill>
    <fill>
      <patternFill patternType="solid">
        <fgColor rgb="003D4F3A"/>
      </patternFill>
    </fill>
    <fill>
      <patternFill patternType="solid">
        <fgColor rgb="008C6A3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3" borderId="0" applyAlignment="1" pivotButton="0" quotePrefix="0" xfId="0">
      <alignment vertical="center"/>
    </xf>
    <xf numFmtId="0" fontId="2"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wrapText="1"/>
    </xf>
    <xf numFmtId="0" fontId="0" fillId="0" borderId="1" applyAlignment="1" pivotButton="0" quotePrefix="0" xfId="0">
      <alignment vertical="center"/>
    </xf>
    <xf numFmtId="1" fontId="0" fillId="0" borderId="1" applyAlignment="1" pivotButton="0" quotePrefix="0" xfId="0">
      <alignment vertical="center"/>
    </xf>
    <xf numFmtId="164" fontId="0" fillId="0" borderId="1" applyAlignment="1" pivotButton="0" quotePrefix="0" xfId="0">
      <alignment vertical="center"/>
    </xf>
    <xf numFmtId="2" fontId="0" fillId="0" borderId="1" applyAlignment="1" pivotButton="0" quotePrefix="0" xfId="0">
      <alignment vertical="center"/>
    </xf>
    <xf numFmtId="2" fontId="0" fillId="0" borderId="0" pivotButton="0" quotePrefix="0" xfId="0"/>
    <xf numFmtId="0" fontId="3" fillId="0" borderId="0" pivotButton="0" quotePrefix="0" xfId="0"/>
    <xf numFmtId="1" fontId="0" fillId="0" borderId="0" pivotButton="0" quotePrefix="0" xfId="0"/>
    <xf numFmtId="164" fontId="0" fillId="0" borderId="0" pivotButton="0" quotePrefix="0" xfId="0"/>
    <xf numFmtId="0" fontId="2" fillId="0" borderId="0" pivotButton="0" quotePrefix="0" xfId="0"/>
    <xf numFmtId="0" fontId="0" fillId="0" borderId="0" applyAlignment="1" pivotButton="0" quotePrefix="0" xfId="0">
      <alignment vertical="center" wrapText="1"/>
    </xf>
    <xf numFmtId="0" fontId="1" fillId="2"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ordinearchitetti.ge.it/wp-content/uploads/2026/02/Prezzario_2026.xls" TargetMode="External" Id="rId1" /><Relationship Type="http://schemas.openxmlformats.org/officeDocument/2006/relationships/hyperlink" Target="https://ordinearchitetti.ge.it/wp-content/uploads/2026/02/Prezzario_2026.xls" TargetMode="External" Id="rId2" /><Relationship Type="http://schemas.openxmlformats.org/officeDocument/2006/relationships/hyperlink" Target="https://ordinearchitetti.ge.it/wp-content/uploads/2026/02/Prezzario_2026.xls" TargetMode="External" Id="rId3" /><Relationship Type="http://schemas.openxmlformats.org/officeDocument/2006/relationships/hyperlink" Target="https://ordinearchitetti.ge.it/wp-content/uploads/2026/02/Prezzario_2026.xls" TargetMode="External" Id="rId4" /><Relationship Type="http://schemas.openxmlformats.org/officeDocument/2006/relationships/hyperlink" Target="https://ordinearchitetti.ge.it/wp-content/uploads/2026/02/Prezzario_2026.xls" TargetMode="External" Id="rId5" /><Relationship Type="http://schemas.openxmlformats.org/officeDocument/2006/relationships/hyperlink" Target="https://ordinearchitetti.ge.it/wp-content/uploads/2026/02/Prezzario_2026.xls" TargetMode="External" Id="rId6" /><Relationship Type="http://schemas.openxmlformats.org/officeDocument/2006/relationships/hyperlink" Target="https://ordinearchitetti.ge.it/wp-content/uploads/2026/02/Prezzario_2026.xls" TargetMode="External" Id="rId7" /><Relationship Type="http://schemas.openxmlformats.org/officeDocument/2006/relationships/hyperlink" Target="https://ordinearchitetti.ge.it/wp-content/uploads/2026/02/Prezzario_2026.xls" TargetMode="External" Id="rId8" /><Relationship Type="http://schemas.openxmlformats.org/officeDocument/2006/relationships/hyperlink" Target="https://ordinearchitetti.ge.it/wp-content/uploads/2026/02/Prezzario_2026.xls" TargetMode="External" Id="rId9" /><Relationship Type="http://schemas.openxmlformats.org/officeDocument/2006/relationships/hyperlink" Target="https://www.artimestieri.com/canapa/864-pannelli-in-fibra-di-canapa-italiana-densita-40-kgmc-spessori-da-4-a-22-cm.html" TargetMode="External" Id="rId10" /><Relationship Type="http://schemas.openxmlformats.org/officeDocument/2006/relationships/hyperlink" Target="https://www.steico.com/fileadmin/user_upload/Italy_Media/Downloads/Brochure_istituzionale__listino_prezzi_e_fascicoli_tematici_generali/STEICO_Preisliste_2025-04_DEU-AUT-ITA-SVN_it_i.pdf" TargetMode="External" Id="rId11" /><Relationship Type="http://schemas.openxmlformats.org/officeDocument/2006/relationships/hyperlink" Target="https://ordinearchitetti.ge.it/wp-content/uploads/2026/02/Prezzario_2026.xls" TargetMode="External" Id="rId12" /><Relationship Type="http://schemas.openxmlformats.org/officeDocument/2006/relationships/hyperlink" Target="https://ordinearchitetti.ge.it/wp-content/uploads/2026/02/Prezzario_2026.xls" TargetMode="External" Id="rId13" /><Relationship Type="http://schemas.openxmlformats.org/officeDocument/2006/relationships/hyperlink" Target="https://ristrutturalo.it/sughero-isolante-prezzi-guida/" TargetMode="External" Id="rId14" /><Relationship Type="http://schemas.openxmlformats.org/officeDocument/2006/relationships/hyperlink" Target="https://ordinearchitetti.ge.it/wp-content/uploads/2026/02/Prezzario_2026.xls" TargetMode="External" Id="rId15" /><Relationship Type="http://schemas.openxmlformats.org/officeDocument/2006/relationships/hyperlink" Target="https://ordinearchitetti.ge.it/wp-content/uploads/2026/02/Prezzario_2026.xls" TargetMode="External" Id="rId16" /><Relationship Type="http://schemas.openxmlformats.org/officeDocument/2006/relationships/hyperlink" Target="https://ordinearchitetti.ge.it/wp-content/uploads/2026/02/Prezzario_2026.xls" TargetMode="External" Id="rId17" /><Relationship Type="http://schemas.openxmlformats.org/officeDocument/2006/relationships/hyperlink" Target="https://ordinearchitetti.ge.it/wp-content/uploads/2026/02/Prezzario_2026.xls" TargetMode="External" Id="rId18" /><Relationship Type="http://schemas.openxmlformats.org/officeDocument/2006/relationships/hyperlink" Target="https://ordinearchitetti.ge.it/wp-content/uploads/2026/02/Prezzario_2026.xls" TargetMode="External" Id="rId19" /><Relationship Type="http://schemas.openxmlformats.org/officeDocument/2006/relationships/hyperlink" Target="https://ordinearchitetti.ge.it/wp-content/uploads/2026/02/Prezzario_2026.xls" TargetMode="External" Id="rId20" /><Relationship Type="http://schemas.openxmlformats.org/officeDocument/2006/relationships/hyperlink" Target="https://ordinearchitetti.ge.it/wp-content/uploads/2026/02/Prezzario_2026.xls" TargetMode="External" Id="rId21" /><Relationship Type="http://schemas.openxmlformats.org/officeDocument/2006/relationships/hyperlink" Target="https://ordinearchitetti.ge.it/wp-content/uploads/2026/02/Prezzario_2026.xls" TargetMode="External" Id="rId22" /><Relationship Type="http://schemas.openxmlformats.org/officeDocument/2006/relationships/hyperlink" Target="https://ordinearchitetti.ge.it/wp-content/uploads/2026/02/Prezzario_2026.xls" TargetMode="External" Id="rId23" /><Relationship Type="http://schemas.openxmlformats.org/officeDocument/2006/relationships/hyperlink" Target="https://www.vetroexpert.it/listino-vetrate-isolanti/" TargetMode="External" Id="rId24" /><Relationship Type="http://schemas.openxmlformats.org/officeDocument/2006/relationships/hyperlink" Target="https://ordinearchitetti.ge.it/wp-content/uploads/2026/02/Prezzario_2026.xls" TargetMode="External" Id="rId25" /><Relationship Type="http://schemas.openxmlformats.org/officeDocument/2006/relationships/hyperlink" Target="https://ordinearchitetti.ge.it/wp-content/uploads/2026/02/Prezzario_2026.xls" TargetMode="External" Id="rId26" /><Relationship Type="http://schemas.openxmlformats.org/officeDocument/2006/relationships/hyperlink" Target="https://ordinearchitetti.ge.it/wp-content/uploads/2026/02/Prezzario_2026.xls" TargetMode="External" Id="rId27" /><Relationship Type="http://schemas.openxmlformats.org/officeDocument/2006/relationships/hyperlink" Target="https://ordinearchitetti.ge.it/wp-content/uploads/2026/02/Prezzario_2026.xls" TargetMode="External" Id="rId28" /><Relationship Type="http://schemas.openxmlformats.org/officeDocument/2006/relationships/hyperlink" Target="https://ordinearchitetti.ge.it/wp-content/uploads/2026/02/Prezzario_2026.xls" TargetMode="External" Id="rId29" /><Relationship Type="http://schemas.openxmlformats.org/officeDocument/2006/relationships/hyperlink" Target="https://ordinearchitetti.ge.it/wp-content/uploads/2026/02/Prezzario_2026.xls" TargetMode="External" Id="rId30" /><Relationship Type="http://schemas.openxmlformats.org/officeDocument/2006/relationships/hyperlink" Target="https://ordinearchitetti.ge.it/wp-content/uploads/2026/02/Prezzario_2026.xls" TargetMode="External" Id="rId31" /><Relationship Type="http://schemas.openxmlformats.org/officeDocument/2006/relationships/hyperlink" Target="https://ordinearchitetti.ge.it/wp-content/uploads/2026/02/Prezzario_2026.xls" TargetMode="External" Id="rId32" /><Relationship Type="http://schemas.openxmlformats.org/officeDocument/2006/relationships/hyperlink" Target="https://ordinearchitetti.ge.it/wp-content/uploads/2026/02/Prezzario_2026.xls" TargetMode="External" Id="rId33" /><Relationship Type="http://schemas.openxmlformats.org/officeDocument/2006/relationships/hyperlink" Target="https://ordinearchitetti.ge.it/wp-content/uploads/2026/02/Prezzario_2026.xls" TargetMode="External" Id="rId34" /><Relationship Type="http://schemas.openxmlformats.org/officeDocument/2006/relationships/hyperlink" Target="https://ordinearchitetti.ge.it/wp-content/uploads/2026/02/Prezzario_2026.xls" TargetMode="External" Id="rId35" /><Relationship Type="http://schemas.openxmlformats.org/officeDocument/2006/relationships/hyperlink" Target="https://ordinearchitetti.ge.it/wp-content/uploads/2026/02/Prezzario_2026.xls" TargetMode="External" Id="rId36" /><Relationship Type="http://schemas.openxmlformats.org/officeDocument/2006/relationships/hyperlink" Target="https://ordinearchitetti.ge.it/wp-content/uploads/2026/02/Prezzario_2026.xls" TargetMode="External" Id="rId37" /><Relationship Type="http://schemas.openxmlformats.org/officeDocument/2006/relationships/hyperlink" Target="https://ordinearchitetti.ge.it/wp-content/uploads/2026/02/Prezzario_2026.xls" TargetMode="External" Id="rId38" /><Relationship Type="http://schemas.openxmlformats.org/officeDocument/2006/relationships/hyperlink" Target="https://ordinearchitetti.ge.it/wp-content/uploads/2026/02/Prezzario_2026.xls" TargetMode="External" Id="rId39" /><Relationship Type="http://schemas.openxmlformats.org/officeDocument/2006/relationships/hyperlink" Target="https://ordinearchitetti.ge.it/wp-content/uploads/2026/02/Prezzario_2026.xls" TargetMode="External" Id="rId40" /><Relationship Type="http://schemas.openxmlformats.org/officeDocument/2006/relationships/hyperlink" Target="https://ordinearchitetti.ge.it/wp-content/uploads/2026/02/Prezzario_2026.xls" TargetMode="External" Id="rId41" /><Relationship Type="http://schemas.openxmlformats.org/officeDocument/2006/relationships/hyperlink" Target="https://ordinearchitetti.ge.it/wp-content/uploads/2026/02/Prezzario_2026.xls" TargetMode="External" Id="rId42" /><Relationship Type="http://schemas.openxmlformats.org/officeDocument/2006/relationships/hyperlink" Target="https://ordinearchitetti.ge.it/wp-content/uploads/2026/02/Prezzario_2026.xls" TargetMode="External" Id="rId43" /><Relationship Type="http://schemas.openxmlformats.org/officeDocument/2006/relationships/hyperlink" Target="https://ordinearchitetti.ge.it/wp-content/uploads/2026/02/Prezzario_2026.xls" TargetMode="External" Id="rId44" /><Relationship Type="http://schemas.openxmlformats.org/officeDocument/2006/relationships/hyperlink" Target="https://ordinearchitetti.ge.it/wp-content/uploads/2026/02/Prezzario_2026.xls" TargetMode="External" Id="rId45" /><Relationship Type="http://schemas.openxmlformats.org/officeDocument/2006/relationships/hyperlink" Target="https://ordinearchitetti.ge.it/wp-content/uploads/2026/02/Prezzario_2026.xls" TargetMode="External" Id="rId46" /><Relationship Type="http://schemas.openxmlformats.org/officeDocument/2006/relationships/hyperlink" Target="https://ordinearchitetti.ge.it/wp-content/uploads/2026/02/Prezzario_2026.xls" TargetMode="External" Id="rId47" /><Relationship Type="http://schemas.openxmlformats.org/officeDocument/2006/relationships/hyperlink" Target="https://pellet-legnami.it/products/perline-legno-14&#1093;121&#1093;4200mm-ab-abete-conf-8pz" TargetMode="External" Id="rId48" /><Relationship Type="http://schemas.openxmlformats.org/officeDocument/2006/relationships/hyperlink" Target="https://www.tecnomat.it/it/c/pavimenti-e-rivestimenti/rivestimenti/perline-e-listoni-in-legno/" TargetMode="External" Id="rId49" /><Relationship Type="http://schemas.openxmlformats.org/officeDocument/2006/relationships/hyperlink" Target="https://www.bricolamer.com/prodotti-per-coperture/1076-tegole-canadesi.html" TargetMode="External" Id="rId50" /><Relationship Type="http://schemas.openxmlformats.org/officeDocument/2006/relationships/hyperlink" Target="https://www.vetroexpert.it/listino-vetrate-isolanti/" TargetMode="External" Id="rId51" /></Relationships>
</file>

<file path=xl/worksheets/sheet1.xml><?xml version="1.0" encoding="utf-8"?>
<worksheet xmlns="http://schemas.openxmlformats.org/spreadsheetml/2006/main">
  <sheetPr>
    <outlinePr summaryBelow="1" summaryRight="1"/>
    <pageSetUpPr/>
  </sheetPr>
  <dimension ref="A1:E30"/>
  <sheetViews>
    <sheetView workbookViewId="0">
      <pane ySplit="8" topLeftCell="A9" activePane="bottomLeft" state="frozen"/>
      <selection pane="bottomLeft" activeCell="A1" sqref="A1"/>
    </sheetView>
  </sheetViews>
  <sheetFormatPr baseColWidth="8" defaultRowHeight="15"/>
  <cols>
    <col width="28" customWidth="1" min="1" max="1"/>
    <col width="14" customWidth="1" min="2" max="2"/>
    <col width="55" customWidth="1" min="3" max="3"/>
    <col width="16" customWidth="1" min="4" max="4"/>
    <col width="70" customWidth="1" min="5" max="5"/>
  </cols>
  <sheetData>
    <row r="1" ht="22" customHeight="1">
      <c r="A1" s="13" t="inlineStr">
        <is>
          <t>Foglio dati</t>
        </is>
      </c>
      <c r="B1" s="14" t="inlineStr">
        <is>
          <t>Materiali</t>
        </is>
      </c>
    </row>
    <row r="2" ht="22" customHeight="1">
      <c r="A2" s="13" t="inlineStr">
        <is>
          <t>Prima riga dati</t>
        </is>
      </c>
      <c r="B2" s="14" t="n">
        <v>2</v>
      </c>
    </row>
    <row r="3" ht="32" customHeight="1">
      <c r="A3" s="13" t="inlineStr">
        <is>
          <t>Regola del prezzo</t>
        </is>
      </c>
      <c r="B3" s="14" t="inlineStr">
        <is>
          <t>Solo materiale, mai la posa. La posa la facciamo noi.</t>
        </is>
      </c>
    </row>
    <row r="4" ht="22" customHeight="1">
      <c r="A4" s="13" t="inlineStr">
        <is>
          <t>Cella prezzo vuota</t>
        </is>
      </c>
      <c r="B4" s="14" t="inlineStr">
        <is>
          <t>Listino del solo materiale non trovato. Non inventare un numero.</t>
        </is>
      </c>
    </row>
    <row r="5" ht="22" customHeight="1">
      <c r="A5" s="13" t="inlineStr">
        <is>
          <t>Resistenze vuote</t>
        </is>
      </c>
      <c r="B5" s="14" t="inlineStr">
        <is>
          <t>Il materiale non entra nel telaio. Oggi sono compilate solo per l'abete o pino C24.</t>
        </is>
      </c>
    </row>
    <row r="6" ht="32" customHeight="1">
      <c r="A6" s="13" t="inlineStr">
        <is>
          <t>Fonte di verità</t>
        </is>
      </c>
      <c r="B6" s="14" t="inlineStr">
        <is>
          <t>Questo file, per la statica e per i preventivi. Il PDF in @ Oldies è archivio.</t>
        </is>
      </c>
    </row>
    <row r="8">
      <c r="A8" s="15" t="inlineStr">
        <is>
          <t>chiave</t>
        </is>
      </c>
      <c r="B8" s="15" t="inlineStr">
        <is>
          <t>colonna</t>
        </is>
      </c>
      <c r="C8" s="15" t="inlineStr">
        <is>
          <t>intestazione</t>
        </is>
      </c>
      <c r="D8" s="15" t="inlineStr">
        <is>
          <t>unita</t>
        </is>
      </c>
      <c r="E8" s="15" t="inlineStr">
        <is>
          <t>come si legge</t>
        </is>
      </c>
    </row>
    <row r="9">
      <c r="A9" s="3" t="inlineStr">
        <is>
          <t>numero</t>
        </is>
      </c>
      <c r="B9" s="3" t="inlineStr">
        <is>
          <t>A</t>
        </is>
      </c>
      <c r="C9" s="3" t="inlineStr">
        <is>
          <t>N</t>
        </is>
      </c>
      <c r="D9" s="3" t="inlineStr"/>
      <c r="E9" s="3" t="inlineStr">
        <is>
          <t>Numero di riga nel foglio, stabile finché non si riordina.</t>
        </is>
      </c>
    </row>
    <row r="10">
      <c r="A10" s="3" t="inlineStr">
        <is>
          <t>categoria</t>
        </is>
      </c>
      <c r="B10" s="3" t="inlineStr">
        <is>
          <t>B</t>
        </is>
      </c>
      <c r="C10" s="3" t="inlineStr">
        <is>
          <t>Categoria</t>
        </is>
      </c>
      <c r="D10" s="3" t="inlineStr"/>
      <c r="E10" s="3" t="inlineStr">
        <is>
          <t>Gruppo, per filtrare.</t>
        </is>
      </c>
    </row>
    <row r="11">
      <c r="A11" s="3" t="inlineStr">
        <is>
          <t>nome</t>
        </is>
      </c>
      <c r="B11" s="3" t="inlineStr">
        <is>
          <t>C</t>
        </is>
      </c>
      <c r="C11" s="3" t="inlineStr">
        <is>
          <t>Materiale</t>
        </is>
      </c>
      <c r="D11" s="3" t="inlineStr"/>
      <c r="E11" s="3" t="inlineStr">
        <is>
          <t>Nome del materiale. È la chiave con cui uno script cerca la riga.</t>
        </is>
      </c>
    </row>
    <row r="12">
      <c r="A12" s="3" t="inlineStr">
        <is>
          <t>densita_kg_m3</t>
        </is>
      </c>
      <c r="B12" s="3" t="inlineStr">
        <is>
          <t>D</t>
        </is>
      </c>
      <c r="C12" s="3" t="inlineStr">
        <is>
          <t>Peso specifico (kg/m³)</t>
        </is>
      </c>
      <c r="D12" s="3" t="inlineStr">
        <is>
          <t>kg/m³</t>
        </is>
      </c>
      <c r="E12" s="3" t="inlineStr">
        <is>
          <t>Massa volumica. Per il C24 è la massa media EN 338, 420.</t>
        </is>
      </c>
    </row>
    <row r="13">
      <c r="A13" s="3" t="inlineStr">
        <is>
          <t>lambda_w_mk</t>
        </is>
      </c>
      <c r="B13" s="3" t="inlineStr">
        <is>
          <t>E</t>
        </is>
      </c>
      <c r="C13" s="3" t="inlineStr">
        <is>
          <t>Conducibilità λ (W/mK)</t>
        </is>
      </c>
      <c r="D13" s="3" t="inlineStr">
        <is>
          <t>W/mK</t>
        </is>
      </c>
      <c r="E13" s="3" t="inlineStr">
        <is>
          <t>Del materiale, non di uno spessore.</t>
        </is>
      </c>
    </row>
    <row r="14">
      <c r="A14" s="3" t="inlineStr">
        <is>
          <t>u_10cm_w_m2k</t>
        </is>
      </c>
      <c r="B14" s="3" t="inlineStr">
        <is>
          <t>F</t>
        </is>
      </c>
      <c r="C14" s="3" t="inlineStr">
        <is>
          <t>Trasmittanza di uno strato da 10 cm (W/m²K)</t>
        </is>
      </c>
      <c r="D14" s="3" t="inlineStr">
        <is>
          <t>W/m²K</t>
        </is>
      </c>
      <c r="E14" s="3" t="inlineStr">
        <is>
          <t>Solo λ/0,10. Non è la trasmittanza di una parete finita.</t>
        </is>
      </c>
    </row>
    <row r="15">
      <c r="A15" s="3" t="inlineStr">
        <is>
          <t>sfasamento_1cm_h</t>
        </is>
      </c>
      <c r="B15" s="3" t="inlineStr">
        <is>
          <t>G</t>
        </is>
      </c>
      <c r="C15" s="3" t="inlineStr">
        <is>
          <t>Sfasamento di uno strato da 1 cm (ore)</t>
        </is>
      </c>
      <c r="D15" s="3" t="inlineStr">
        <is>
          <t>h</t>
        </is>
      </c>
      <c r="E15" s="3" t="inlineStr">
        <is>
          <t>Onda di 24 ore, spessore 1 cm.</t>
        </is>
      </c>
    </row>
    <row r="16">
      <c r="A16" s="3" t="inlineStr">
        <is>
          <t>sfasamento_10cm_h</t>
        </is>
      </c>
      <c r="B16" s="3" t="inlineStr">
        <is>
          <t>H</t>
        </is>
      </c>
      <c r="C16" s="3" t="inlineStr">
        <is>
          <t>Sfasamento di uno strato da 10 cm (ore)</t>
        </is>
      </c>
      <c r="D16" s="3" t="inlineStr">
        <is>
          <t>h</t>
        </is>
      </c>
      <c r="E16" s="3" t="inlineStr">
        <is>
          <t>Onda di 24 ore, spessore 10 cm.</t>
        </is>
      </c>
    </row>
    <row r="17">
      <c r="A17" s="3" t="inlineStr">
        <is>
          <t>calore_specifico_j_kgk</t>
        </is>
      </c>
      <c r="B17" s="3" t="inlineStr">
        <is>
          <t>I</t>
        </is>
      </c>
      <c r="C17" s="3" t="inlineStr">
        <is>
          <t>Calore specifico ricavato (J/kgK)</t>
        </is>
      </c>
      <c r="D17" s="3" t="inlineStr">
        <is>
          <t>J/kgK</t>
        </is>
      </c>
      <c r="E17" s="3" t="inlineStr">
        <is>
          <t>Non era nel PDF: è il numero che, con peso e lambda, ridà lo sfasamento.</t>
        </is>
      </c>
    </row>
    <row r="18">
      <c r="A18" s="3" t="inlineStr">
        <is>
          <t>e0_medio_mpa</t>
        </is>
      </c>
      <c r="B18" s="3" t="inlineStr">
        <is>
          <t>J</t>
        </is>
      </c>
      <c r="C18" s="3" t="inlineStr">
        <is>
          <t>Modulo elastico E0,medio (MPa)</t>
        </is>
      </c>
      <c r="D18" s="3" t="inlineStr">
        <is>
          <t>MPa</t>
        </is>
      </c>
      <c r="E18" s="3" t="inlineStr">
        <is>
          <t>Lungo la fibra, valore medio. Vuoto se il materiale non entra nel telaio.</t>
        </is>
      </c>
    </row>
    <row r="19">
      <c r="A19" s="3" t="inlineStr">
        <is>
          <t>fm_k_mpa</t>
        </is>
      </c>
      <c r="B19" s="3" t="inlineStr">
        <is>
          <t>K</t>
        </is>
      </c>
      <c r="C19" s="3" t="inlineStr">
        <is>
          <t>Resistenza a flessione fm,k (MPa)</t>
        </is>
      </c>
      <c r="D19" s="3" t="inlineStr">
        <is>
          <t>MPa</t>
        </is>
      </c>
      <c r="E19" s="3" t="inlineStr">
        <is>
          <t>Caratteristica. Vuota se il materiale non entra nel telaio.</t>
        </is>
      </c>
    </row>
    <row r="20">
      <c r="A20" s="3" t="inlineStr">
        <is>
          <t>fc_0_k_mpa</t>
        </is>
      </c>
      <c r="B20" s="3" t="inlineStr">
        <is>
          <t>L</t>
        </is>
      </c>
      <c r="C20" s="3" t="inlineStr">
        <is>
          <t>Resistenza a compressione fc,0,k (MPa)</t>
        </is>
      </c>
      <c r="D20" s="3" t="inlineStr">
        <is>
          <t>MPa</t>
        </is>
      </c>
      <c r="E20" s="3" t="inlineStr">
        <is>
          <t>Lungo la fibra, caratteristica.</t>
        </is>
      </c>
    </row>
    <row r="21">
      <c r="A21" s="3" t="inlineStr">
        <is>
          <t>ft_0_k_mpa</t>
        </is>
      </c>
      <c r="B21" s="3" t="inlineStr">
        <is>
          <t>M</t>
        </is>
      </c>
      <c r="C21" s="3" t="inlineStr">
        <is>
          <t>Resistenza a trazione ft,0,k (MPa)</t>
        </is>
      </c>
      <c r="D21" s="3" t="inlineStr">
        <is>
          <t>MPa</t>
        </is>
      </c>
      <c r="E21" s="3" t="inlineStr">
        <is>
          <t>Lungo la fibra, caratteristica.</t>
        </is>
      </c>
    </row>
    <row r="22">
      <c r="A22" s="3" t="inlineStr">
        <is>
          <t>fv_k_mpa</t>
        </is>
      </c>
      <c r="B22" s="3" t="inlineStr">
        <is>
          <t>N</t>
        </is>
      </c>
      <c r="C22" s="3" t="inlineStr">
        <is>
          <t>Resistenza a taglio fv,k (MPa)</t>
        </is>
      </c>
      <c r="D22" s="3" t="inlineStr">
        <is>
          <t>MPa</t>
        </is>
      </c>
      <c r="E22" s="3" t="inlineStr">
        <is>
          <t>Caratteristica.</t>
        </is>
      </c>
    </row>
    <row r="23">
      <c r="A23" s="3" t="inlineStr">
        <is>
          <t>fonte_tecnica</t>
        </is>
      </c>
      <c r="B23" s="3" t="inlineStr">
        <is>
          <t>O</t>
        </is>
      </c>
      <c r="C23" s="3" t="inlineStr">
        <is>
          <t>Fonte dei valori tecnici</t>
        </is>
      </c>
      <c r="D23" s="3" t="inlineStr"/>
      <c r="E23" s="3" t="inlineStr">
        <is>
          <t>Da dove vengono densità, lambda e resistenze.</t>
        </is>
      </c>
    </row>
    <row r="24">
      <c r="A24" s="3" t="inlineStr">
        <is>
          <t>prezzo_solo_materiale</t>
        </is>
      </c>
      <c r="B24" s="3" t="inlineStr">
        <is>
          <t>P</t>
        </is>
      </c>
      <c r="C24" s="3" t="inlineStr">
        <is>
          <t>Prezzo del solo materiale</t>
        </is>
      </c>
      <c r="D24" s="3" t="inlineStr">
        <is>
          <t>vedi unita_prezzo</t>
        </is>
      </c>
      <c r="E24" s="3" t="inlineStr">
        <is>
          <t>Mai la posa. Cella vuota = listino non trovato.</t>
        </is>
      </c>
    </row>
    <row r="25">
      <c r="A25" s="3" t="inlineStr">
        <is>
          <t>unita_prezzo</t>
        </is>
      </c>
      <c r="B25" s="3" t="inlineStr">
        <is>
          <t>Q</t>
        </is>
      </c>
      <c r="C25" s="3" t="inlineStr">
        <is>
          <t>Unità del prezzo</t>
        </is>
      </c>
      <c r="D25" s="3" t="inlineStr"/>
      <c r="E25" s="3" t="inlineStr">
        <is>
          <t>€/m³, €/m² oppure €/kg, come si compra.</t>
        </is>
      </c>
    </row>
    <row r="26">
      <c r="A26" s="3" t="inlineStr">
        <is>
          <t>spessore_prezzo_mm</t>
        </is>
      </c>
      <c r="B26" s="3" t="inlineStr">
        <is>
          <t>R</t>
        </is>
      </c>
      <c r="C26" s="3" t="inlineStr">
        <is>
          <t>Spessore del prezzo (mm)</t>
        </is>
      </c>
      <c r="D26" s="3" t="inlineStr">
        <is>
          <t>mm</t>
        </is>
      </c>
      <c r="E26" s="3" t="inlineStr">
        <is>
          <t>Compilato quando l'unità è €/m².</t>
        </is>
      </c>
    </row>
    <row r="27">
      <c r="A27" s="3" t="inlineStr">
        <is>
          <t>periodo_prezzo</t>
        </is>
      </c>
      <c r="B27" s="3" t="inlineStr">
        <is>
          <t>S</t>
        </is>
      </c>
      <c r="C27" s="3" t="inlineStr">
        <is>
          <t>Periodo del prezzo</t>
        </is>
      </c>
      <c r="D27" s="3" t="inlineStr"/>
      <c r="E27" s="3" t="inlineStr">
        <is>
          <t>Quando è stato visto il listino.</t>
        </is>
      </c>
    </row>
    <row r="28">
      <c r="A28" s="3" t="inlineStr">
        <is>
          <t>fonte_prezzo</t>
        </is>
      </c>
      <c r="B28" s="3" t="inlineStr">
        <is>
          <t>T</t>
        </is>
      </c>
      <c r="C28" s="3" t="inlineStr">
        <is>
          <t>Fonte del prezzo</t>
        </is>
      </c>
      <c r="D28" s="3" t="inlineStr"/>
      <c r="E28" s="3" t="inlineStr">
        <is>
          <t>Testo del link. L'indirizzo è l'hyperlink della cella.</t>
        </is>
      </c>
    </row>
    <row r="29">
      <c r="A29" s="3" t="inlineStr">
        <is>
          <t>nota_prezzo</t>
        </is>
      </c>
      <c r="B29" s="3" t="inlineStr">
        <is>
          <t>U</t>
        </is>
      </c>
      <c r="C29" s="3" t="inlineStr">
        <is>
          <t>Nota sul prezzo</t>
        </is>
      </c>
      <c r="D29" s="3" t="inlineStr"/>
      <c r="E29" s="3" t="inlineStr">
        <is>
          <t>IVA, voce di listino, cosa comprende e cosa no.</t>
        </is>
      </c>
    </row>
    <row r="30">
      <c r="A30" s="3" t="inlineStr">
        <is>
          <t>prezzo_euro_m3</t>
        </is>
      </c>
      <c r="B30" s="3" t="inlineStr">
        <is>
          <t>V</t>
        </is>
      </c>
      <c r="C30" s="3" t="inlineStr">
        <is>
          <t>Prezzo riportato a €/m³</t>
        </is>
      </c>
      <c r="D30" s="3" t="inlineStr">
        <is>
          <t>€/m³</t>
        </is>
      </c>
      <c r="E30" s="3" t="inlineStr">
        <is>
          <t>Formula. €/m³ resta com'è; €/m² si divide per lo spessore in metri; €/kg si moltiplica per densita_kg_m3. Uno script ricalcola, non legge il valore salvato.</t>
        </is>
      </c>
    </row>
  </sheetData>
  <autoFilter ref="A8:E30"/>
  <pageMargins left="0.75" right="0.75" top="1" bottom="1" header="0.5" footer="0.5"/>
</worksheet>
</file>

<file path=xl/worksheets/sheet2.xml><?xml version="1.0" encoding="utf-8"?>
<worksheet xmlns="http://schemas.openxmlformats.org/spreadsheetml/2006/main">
  <sheetPr>
    <tabColor rgb="008C6A3D"/>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42" customWidth="1" min="1" max="1"/>
    <col width="110" customWidth="1" min="2" max="2"/>
  </cols>
  <sheetData>
    <row r="1" ht="48" customHeight="1">
      <c r="A1" s="2" t="inlineStr">
        <is>
          <t>Fonte di verità</t>
        </is>
      </c>
      <c r="B1" s="3" t="inlineStr">
        <is>
          <t>Questo file, Riferimenti/proprieta_materiali.xlsx, è la fonte dei materiali per la statica e per i preventivi. Script e skill leggono questo, non il PDF. Il PDF sta in @ Oldies/proprieta_termiche_materiali.pdf ed è solo archivio.</t>
        </is>
      </c>
    </row>
    <row r="2" ht="48" customHeight="1">
      <c r="A2" s="2" t="inlineStr">
        <is>
          <t>Solo materiale, mai la posa</t>
        </is>
      </c>
      <c r="B2" s="3" t="inlineStr">
        <is>
          <t>La colonna «Prezzo del solo materiale» è la fornitura, mai la posa: la posa la facciamo noi. Una cella vuota vuol dire che un listino del solo materiale non è stato trovato. Non si mette un numero di stima.</t>
        </is>
      </c>
    </row>
    <row r="3" ht="48" customHeight="1">
      <c r="A3" s="2" t="inlineStr">
        <is>
          <t>Come lo legge uno script</t>
        </is>
      </c>
      <c r="B3" s="3" t="inlineStr">
        <is>
          <t>Foglio Materiali: intestazioni in riga 1, una riga per materiale dalla riga 2. Foglio Chiavi: la colonna chiave è il nome stabile, da usare al posto della lettera. L'ultima colonna è una formula che riporta il prezzo a euro al metro cubo: uno script la ricalcola da prezzo, unità, spessore e peso specifico, perché il valore salvato può mancare finché il file non viene aperto in un foglio di calcolo.</t>
        </is>
      </c>
    </row>
    <row r="4" ht="48" customHeight="1">
      <c r="A4" s="1" t="inlineStr">
        <is>
          <t>Voce</t>
        </is>
      </c>
      <c r="B4" s="1" t="inlineStr">
        <is>
          <t>Che cosa vuol dire</t>
        </is>
      </c>
    </row>
    <row r="5" ht="48" customHeight="1">
      <c r="A5" s="2" t="inlineStr">
        <is>
          <t>Da dove viene</t>
        </is>
      </c>
      <c r="B5" s="3" t="inlineStr">
        <is>
          <t>Riferimenti/proprieta_termiche_materiali.pdf, scritto il 21 ottobre 2026. Nel PDF i nomi di colonna ci sono, ma vanno a capo a metà parola e sembrano spariti. Qui ogni nome sta in una cella sola. Una riga, un materiale. I numeri sono quelli del PDF.</t>
        </is>
      </c>
    </row>
    <row r="6" ht="48" customHeight="1">
      <c r="A6" s="2" t="inlineStr">
        <is>
          <t>Cosa non è</t>
        </is>
      </c>
      <c r="B6" s="3" t="inlineStr">
        <is>
          <t>Non è la scheda di una parete finita. Manca l'intonaco, manca il legno della struttura, e mancano le due resistenze dell'aria sulla faccia interna e su quella esterna.</t>
        </is>
      </c>
    </row>
    <row r="7" ht="48" customHeight="1">
      <c r="A7" s="2" t="inlineStr">
        <is>
          <t>Peso specifico</t>
        </is>
      </c>
      <c r="B7" s="3" t="inlineStr">
        <is>
          <t>Massa di un metro cubo di materiale, in kg/m³. Non dipende dallo spessore. È la colonna che nel PDF si chiama «Peso spec.».</t>
        </is>
      </c>
    </row>
    <row r="8" ht="48" customHeight="1">
      <c r="A8" s="2" t="inlineStr">
        <is>
          <t>Conducibilità λ</t>
        </is>
      </c>
      <c r="B8" s="3" t="inlineStr">
        <is>
          <t>Quanti watt attraversano un metro di spessore, per un metro quadrato, con un grado di differenza tra le due facce. Unità W/mK. È una proprietà del materiale, non di un pannello di un certo spessore. Nel documento di partenza questa colonna era chiamata «trasmittanza»: il PDF di ieri l'ha riletta come conducibilità, e i conti tornano (vedi la riga sotto).</t>
        </is>
      </c>
    </row>
    <row r="9" ht="48" customHeight="1">
      <c r="A9" s="2" t="inlineStr">
        <is>
          <t>Trasmittanza di uno strato da 10 cm</t>
        </is>
      </c>
      <c r="B9" s="3" t="inlineStr">
        <is>
          <t>È λ diviso 0,10 m. Esempio: cartongesso, λ 0,210, trasmittanza 2,10. Vale solo per uno spessore di 10 cm, e solo per il materiale nudo, senza l'aria sulle due facce. Per un altro spessore si ricalcola: λ diviso lo spessore in metri. Non va sommata così com'è a un'altra trasmittanza.</t>
        </is>
      </c>
    </row>
    <row r="10" ht="48" customHeight="1">
      <c r="A10" s="2" t="inlineStr">
        <is>
          <t>Sfasamento di 1 cm e di 10 cm</t>
        </is>
      </c>
      <c r="B10" s="3" t="inlineStr">
        <is>
          <t>Ritardo, in ore, con cui un'onda di caldo di 24 ore attraversa uno strato omogeneo di quello spessore. Il valore a 10 cm è circa dieci volte quello a 1 cm, perché in questo conto il ritardo cresce in proporzione allo spessore. Non è lo sfasamento di una parete composta.</t>
        </is>
      </c>
    </row>
    <row r="11" ht="52" customHeight="1">
      <c r="A11" s="2" t="inlineStr">
        <is>
          <t>Calore specifico ricavato</t>
        </is>
      </c>
      <c r="B11" s="3" t="inlineStr">
        <is>
          <t>Non è stampato nel PDF. È il numero, in J/kgK, che insieme al peso e a λ ridà lo sfasamento dei 10 cm. Arrotondato a 10. Serve a non perdere di nuovo il significato di quelle due colonne.</t>
        </is>
      </c>
    </row>
    <row r="12" ht="52" customHeight="1">
      <c r="A12" s="2" t="inlineStr">
        <is>
          <t>Come è fatto il conto dello sfasamento</t>
        </is>
      </c>
      <c r="B12" s="3" t="inlineStr">
        <is>
          <t>Ore = spessore in metri × radice di (86400 × peso × calore specifico / (2 × π × λ)) / 3600. 86400 sono i secondi di un giorno.</t>
        </is>
      </c>
    </row>
    <row r="13" ht="52" customHeight="1">
      <c r="A13" s="2" t="inlineStr">
        <is>
          <t>Nomi ritoccati solo nella scrittura</t>
        </is>
      </c>
      <c r="B13" s="3" t="inlineStr">
        <is>
          <t>«Trucciolare» del PDF è il truciolare. «Legnoduro» è legno duro. «Pisè» è scritto pisé. Il resto è il nome del PDF, con la maiuscola solo in testa.</t>
        </is>
      </c>
    </row>
    <row r="14" ht="52" customHeight="1">
      <c r="A14" s="2" t="inlineStr">
        <is>
          <t>Colonne della statica</t>
        </is>
      </c>
      <c r="B14" s="3" t="inlineStr">
        <is>
          <t>Modulo elastico medio lungo la fibra, e resistenze caratteristiche a flessione, compressione, trazione e taglio, in MPa. Servono a confrontare le sollecitazioni del telaio. Sono compilate solo per l'abete o pino di classe C24. Perline, tavole da rivestimento e tutti gli altri materiali restano vuoti: non portano il telaio.</t>
        </is>
      </c>
    </row>
    <row r="15" ht="52" customHeight="1">
      <c r="A15" s="2" t="inlineStr">
        <is>
          <t>Unità del prezzo</t>
        </is>
      </c>
      <c r="B15" s="3" t="inlineStr">
        <is>
          <t>Quella con cui il materiale si compra. Il legno da struttura, i laterizi a volume, il calcestruzzo e la pietra sono in euro al metro cubo. Lastre, pannelli, perline e tavole da rivestimento sono in euro al metro quadro, con lo spessore nella colonna accanto. Acciaio, rame e malte sono in euro al chilogrammo. L'ultima colonna riporta tutto a euro al metro cubo: per il metro quadro divide per lo spessore in metri, per il chilogrammo moltiplica per il peso specifico.</t>
        </is>
      </c>
    </row>
    <row r="16">
      <c r="A16" s="2" t="inlineStr">
        <is>
          <t>I tre legni</t>
        </is>
      </c>
      <c r="B16" s="3" t="inlineStr">
        <is>
          <t>Abete o pino C24: travi da struttura, grezze, al metro cubo. Perline di abete da interno: piallate e maschiate, al metro quadro, più care a parità di volume. Tavole grezze da esterno: non piallate, 20 mm, al metro quadro; a metro quadro costano un filo meno della perlina da 14 mm, a metro cubo costano meno perché sono meno lavorate e più spesse.</t>
        </is>
      </c>
    </row>
    <row r="17">
      <c r="A17" s="2" t="inlineStr">
        <is>
          <t>Periodo e link</t>
        </is>
      </c>
      <c r="B17" s="3" t="inlineStr">
        <is>
          <t>Il periodo sta in una colonna, il link in un'altra. Il testo del link è il nome della fonte e, per il prezzario, il codice della voce. Ottobre 2026: i due negozi sono stati visti il 22 ottobre. Il prezzario della Liguria è stato aggiornato l'11 febbraio 2026 ed è quello in vigore.</t>
        </is>
      </c>
    </row>
    <row r="18">
      <c r="A18" s="2" t="inlineStr">
        <is>
          <t>Righe senza prezzo</t>
        </is>
      </c>
      <c r="B18" s="3" t="inlineStr">
        <is>
          <t>Il prezzo c'è solo dove è stata trovata una voce del solo materiale. Dove non c'è, la nota lo dice e la cella resta vuota.</t>
        </is>
      </c>
    </row>
    <row r="19">
      <c r="A19" s="2" t="inlineStr">
        <is>
          <t>Prezzi del 25 ottobre 2026</t>
        </is>
      </c>
      <c r="B19" s="3" t="inlineStr">
        <is>
          <t>Confronti aggiunti, senza cambiare il numero, su abete C24, perline da interno e tavole da esterno. Riga nuova delle tegole bituminose. Isolanti con un solo controllo: canapa, fibra di legno extraporosa, sughero espanso (il sughero è il centro di una forbice, non un listino). Gli isolanti più rari restano vuoti. Nel pomeriggio il prezzo della riga Vetro è diventato la vetrocamera della stella, 110 euro al m². La riga in più è la vetrocamera per le luci maggiori, 150 euro al m². Fornitura, senza posa.</t>
        </is>
      </c>
    </row>
  </sheetData>
  <autoFilter ref="A1:B10"/>
  <pageMargins left="0.75" right="0.75" top="1" bottom="1" header="0.5" footer="0.5"/>
</worksheet>
</file>

<file path=xl/worksheets/sheet3.xml><?xml version="1.0" encoding="utf-8"?>
<worksheet xmlns="http://schemas.openxmlformats.org/spreadsheetml/2006/main">
  <sheetPr>
    <tabColor rgb="003D4F3A"/>
    <outlinePr summaryBelow="1" summaryRight="1"/>
    <pageSetUpPr/>
  </sheetPr>
  <dimension ref="A1:V102"/>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52" customWidth="1" min="3" max="3"/>
    <col width="18" customWidth="1" min="4" max="4"/>
    <col width="18" customWidth="1" min="5" max="5"/>
    <col width="28" customWidth="1" min="6" max="6"/>
    <col width="26" customWidth="1" min="7" max="7"/>
    <col width="28" customWidth="1" min="8" max="8"/>
    <col width="24" customWidth="1" min="9" max="9"/>
    <col width="16" customWidth="1" min="10" max="10"/>
    <col width="16" customWidth="1" min="11" max="11"/>
    <col width="18" customWidth="1" min="12" max="12"/>
    <col width="16" customWidth="1" min="13" max="13"/>
    <col width="16" customWidth="1" min="14" max="14"/>
    <col width="42" customWidth="1" min="15" max="15"/>
    <col width="12" customWidth="1" min="16" max="16"/>
    <col width="16" customWidth="1" min="17" max="17"/>
    <col width="16" customWidth="1" min="18" max="18"/>
    <col width="16" customWidth="1" min="19" max="19"/>
    <col width="42" customWidth="1" min="20" max="20"/>
    <col width="55" customWidth="1" min="21" max="21"/>
    <col width="16" customWidth="1" min="22" max="22"/>
  </cols>
  <sheetData>
    <row r="1" ht="48" customHeight="1">
      <c r="A1" s="4" t="inlineStr">
        <is>
          <t>N</t>
        </is>
      </c>
      <c r="B1" s="4" t="inlineStr">
        <is>
          <t>Categoria</t>
        </is>
      </c>
      <c r="C1" s="4" t="inlineStr">
        <is>
          <t>Materiale</t>
        </is>
      </c>
      <c r="D1" s="4" t="inlineStr">
        <is>
          <t>Peso specifico (kg/m³)</t>
        </is>
      </c>
      <c r="E1" s="4" t="inlineStr">
        <is>
          <t>Conducibilità λ (W/mK)</t>
        </is>
      </c>
      <c r="F1" s="4" t="inlineStr">
        <is>
          <t>Trasmittanza di uno strato da 10 cm (W/m²K)</t>
        </is>
      </c>
      <c r="G1" s="4" t="inlineStr">
        <is>
          <t>Sfasamento di uno strato da 1 cm (ore)</t>
        </is>
      </c>
      <c r="H1" s="4" t="inlineStr">
        <is>
          <t>Sfasamento di uno strato da 10 cm (ore)</t>
        </is>
      </c>
      <c r="I1" s="4" t="inlineStr">
        <is>
          <t>Calore specifico ricavato (J/kgK)</t>
        </is>
      </c>
      <c r="J1" s="4" t="inlineStr">
        <is>
          <t>Modulo elastico E0,medio (MPa)</t>
        </is>
      </c>
      <c r="K1" s="4" t="inlineStr">
        <is>
          <t>Resistenza a flessione fm,k (MPa)</t>
        </is>
      </c>
      <c r="L1" s="4" t="inlineStr">
        <is>
          <t>Resistenza a compressione fc,0,k (MPa)</t>
        </is>
      </c>
      <c r="M1" s="4" t="inlineStr">
        <is>
          <t>Resistenza a trazione ft,0,k (MPa)</t>
        </is>
      </c>
      <c r="N1" s="4" t="inlineStr">
        <is>
          <t>Resistenza a taglio fv,k (MPa)</t>
        </is>
      </c>
      <c r="O1" s="4" t="inlineStr">
        <is>
          <t>Fonte dei valori tecnici</t>
        </is>
      </c>
      <c r="P1" s="4" t="inlineStr">
        <is>
          <t>Prezzo del solo materiale</t>
        </is>
      </c>
      <c r="Q1" s="4" t="inlineStr">
        <is>
          <t>Unità del prezzo</t>
        </is>
      </c>
      <c r="R1" s="4" t="inlineStr">
        <is>
          <t>Spessore del prezzo (mm)</t>
        </is>
      </c>
      <c r="S1" s="4" t="inlineStr">
        <is>
          <t>Periodo del prezzo</t>
        </is>
      </c>
      <c r="T1" s="4" t="inlineStr">
        <is>
          <t>Fonte del prezzo</t>
        </is>
      </c>
      <c r="U1" s="4" t="inlineStr">
        <is>
          <t>Nota sul prezzo</t>
        </is>
      </c>
      <c r="V1" s="4" t="inlineStr">
        <is>
          <t>Prezzo riportato a €/m³</t>
        </is>
      </c>
    </row>
    <row r="2">
      <c r="A2" s="5" t="n">
        <v>1</v>
      </c>
      <c r="B2" s="5" t="inlineStr">
        <is>
          <t>A - Pannelli</t>
        </is>
      </c>
      <c r="C2" s="5" t="inlineStr">
        <is>
          <t>Cartongesso</t>
        </is>
      </c>
      <c r="D2" s="6" t="n">
        <v>900</v>
      </c>
      <c r="E2" s="7" t="n">
        <v>0.21</v>
      </c>
      <c r="F2" s="8" t="n">
        <v>2.1</v>
      </c>
      <c r="G2" s="8" t="n">
        <v>0.67</v>
      </c>
      <c r="H2" s="8" t="n">
        <v>6.74</v>
      </c>
      <c r="I2" s="6" t="n">
        <v>1000</v>
      </c>
      <c r="O2" s="3" t="inlineStr">
        <is>
          <t>Termici: numeri portati dal PDF archiviato in @ Oldies/proprieta_termiche_materiali.pdf (21 ottobre 2026). Da usare è questo file. Il calore specifico non era stampato: è ricavato dallo sfasamento a 10 cm.</t>
        </is>
      </c>
      <c r="P2" s="9" t="n">
        <v>3.16</v>
      </c>
      <c r="Q2" t="inlineStr">
        <is>
          <t>€/m²</t>
        </is>
      </c>
      <c r="R2" t="n">
        <v>13</v>
      </c>
      <c r="S2" t="inlineStr">
        <is>
          <t>ottobre 2026</t>
        </is>
      </c>
      <c r="T2" s="10" t="inlineStr">
        <is>
          <t>Prezzario Liguria 2026, PR.A22.A11.015</t>
        </is>
      </c>
      <c r="U2" s="3" t="inlineStr">
        <is>
          <t>Lastra 120×200 cm, spessore 13 mm, 7,59 euro l'una. 7,59 / 2,4 m² = 3,16 euro al m². IVA esclusa. Franco cantiere, senza posa. Nel prezzo del prezzario ci sono anche il 15% di spese generali e il 10% di utile. Listino aggiornato l'11 febbraio 2026, ancora in vigore a ottobre.</t>
        </is>
      </c>
      <c r="V2" s="11">
        <f>IF(Q2="€/m³",P2,IF(AND(Q2="€/m²",R2&gt;0),P2/(R2/1000),IF(Q2="€/kg",P2*D2,"")))</f>
        <v/>
      </c>
    </row>
    <row r="3">
      <c r="A3" s="5" t="n">
        <v>2</v>
      </c>
      <c r="B3" s="5" t="inlineStr">
        <is>
          <t>A - Pannelli</t>
        </is>
      </c>
      <c r="C3" s="5" t="inlineStr">
        <is>
          <t>Fibre di legno porosi</t>
        </is>
      </c>
      <c r="D3" s="6" t="n">
        <v>200</v>
      </c>
      <c r="E3" s="7" t="n">
        <v>0.06</v>
      </c>
      <c r="F3" s="8" t="n">
        <v>0.6</v>
      </c>
      <c r="G3" s="8" t="n">
        <v>0.86</v>
      </c>
      <c r="H3" s="8" t="n">
        <v>8.619999999999999</v>
      </c>
      <c r="I3" s="6" t="n">
        <v>2100</v>
      </c>
      <c r="O3" s="3" t="inlineStr">
        <is>
          <t>Termici: numeri portati dal PDF archiviato in @ Oldies/proprieta_termiche_materiali.pdf (21 ottobre 2026). Da usare è questo file. Il calore specifico non era stampato: è ricavato dallo sfasamento a 10 cm.</t>
        </is>
      </c>
      <c r="U3" s="3" t="inlineStr">
        <is>
          <t>Nel prezzario Liguria 2026 non c'è una voce del solo materiale, senza la posa. La cella del prezzo resta vuota.</t>
        </is>
      </c>
      <c r="V3" s="11">
        <f>IF(Q3="€/m³",P3,IF(AND(Q3="€/m²",R3&gt;0),P3/(R3/1000),IF(Q3="€/kg",P3*D3,"")))</f>
        <v/>
      </c>
    </row>
    <row r="4">
      <c r="A4" s="5" t="n">
        <v>3</v>
      </c>
      <c r="B4" s="5" t="inlineStr">
        <is>
          <t>A - Pannelli</t>
        </is>
      </c>
      <c r="C4" s="5" t="inlineStr">
        <is>
          <t>Fibre di legno semiduri</t>
        </is>
      </c>
      <c r="D4" s="6" t="n">
        <v>650</v>
      </c>
      <c r="E4" s="7" t="n">
        <v>0.1</v>
      </c>
      <c r="F4" s="8" t="n">
        <v>1</v>
      </c>
      <c r="G4" s="8" t="n">
        <v>1.2</v>
      </c>
      <c r="H4" s="8" t="n">
        <v>12.03</v>
      </c>
      <c r="I4" s="6" t="n">
        <v>2100</v>
      </c>
      <c r="O4" s="3" t="inlineStr">
        <is>
          <t>Termici: numeri portati dal PDF archiviato in @ Oldies/proprieta_termiche_materiali.pdf (21 ottobre 2026). Da usare è questo file. Il calore specifico non era stampato: è ricavato dallo sfasamento a 10 cm.</t>
        </is>
      </c>
      <c r="U4" s="3" t="inlineStr">
        <is>
          <t>Nel prezzario Liguria 2026 non c'è una voce del solo materiale, senza la posa. La cella del prezzo resta vuota.</t>
        </is>
      </c>
      <c r="V4" s="11">
        <f>IF(Q4="€/m³",P4,IF(AND(Q4="€/m²",R4&gt;0),P4/(R4/1000),IF(Q4="€/kg",P4*D4,"")))</f>
        <v/>
      </c>
    </row>
    <row r="5">
      <c r="A5" s="5" t="n">
        <v>4</v>
      </c>
      <c r="B5" s="5" t="inlineStr">
        <is>
          <t>A - Pannelli</t>
        </is>
      </c>
      <c r="C5" s="5" t="inlineStr">
        <is>
          <t>Fibre di legno duri</t>
        </is>
      </c>
      <c r="D5" s="6" t="n">
        <v>1000</v>
      </c>
      <c r="E5" s="7" t="n">
        <v>0.15</v>
      </c>
      <c r="F5" s="8" t="n">
        <v>1.5</v>
      </c>
      <c r="G5" s="8" t="n">
        <v>1.22</v>
      </c>
      <c r="H5" s="8" t="n">
        <v>12.19</v>
      </c>
      <c r="I5" s="6" t="n">
        <v>2100</v>
      </c>
      <c r="O5" s="3" t="inlineStr">
        <is>
          <t>Termici: numeri portati dal PDF archiviato in @ Oldies/proprieta_termiche_materiali.pdf (21 ottobre 2026). Da usare è questo file. Il calore specifico non era stampato: è ricavato dallo sfasamento a 10 cm.</t>
        </is>
      </c>
      <c r="U5" s="3" t="inlineStr">
        <is>
          <t>Nel prezzario Liguria 2026 non c'è una voce del solo materiale, senza la posa. La cella del prezzo resta vuota.</t>
        </is>
      </c>
      <c r="V5" s="11">
        <f>IF(Q5="€/m³",P5,IF(AND(Q5="€/m²",R5&gt;0),P5/(R5/1000),IF(Q5="€/kg",P5*D5,"")))</f>
        <v/>
      </c>
    </row>
    <row r="6">
      <c r="A6" s="5" t="n">
        <v>5</v>
      </c>
      <c r="B6" s="5" t="inlineStr">
        <is>
          <t>A - Pannelli</t>
        </is>
      </c>
      <c r="C6" s="5" t="inlineStr">
        <is>
          <t>Truciolare</t>
        </is>
      </c>
      <c r="D6" s="6" t="n">
        <v>700</v>
      </c>
      <c r="E6" s="7" t="n">
        <v>0.16</v>
      </c>
      <c r="F6" s="8" t="n">
        <v>1.6</v>
      </c>
      <c r="G6" s="8" t="n">
        <v>0.89</v>
      </c>
      <c r="H6" s="8" t="n">
        <v>8.880000000000001</v>
      </c>
      <c r="I6" s="6" t="n">
        <v>1700</v>
      </c>
      <c r="O6" s="3" t="inlineStr">
        <is>
          <t>Termici: numeri portati dal PDF archiviato in @ Oldies/proprieta_termiche_materiali.pdf (21 ottobre 2026). Da usare è questo file. Il calore specifico non era stampato: è ricavato dallo sfasamento a 10 cm.</t>
        </is>
      </c>
      <c r="U6" s="3" t="inlineStr">
        <is>
          <t>Nel prezzario Liguria 2026 non c'è una voce del solo materiale, senza la posa. La cella del prezzo resta vuota.</t>
        </is>
      </c>
      <c r="V6" s="11">
        <f>IF(Q6="€/m³",P6,IF(AND(Q6="€/m²",R6&gt;0),P6/(R6/1000),IF(Q6="€/kg",P6*D6,"")))</f>
        <v/>
      </c>
    </row>
    <row r="7">
      <c r="A7" s="5" t="n">
        <v>6</v>
      </c>
      <c r="B7" s="5" t="inlineStr">
        <is>
          <t>A - Pannelli</t>
        </is>
      </c>
      <c r="C7" s="5" t="inlineStr">
        <is>
          <t>Mineralizzati</t>
        </is>
      </c>
      <c r="D7" s="6" t="n">
        <v>1250</v>
      </c>
      <c r="E7" s="7" t="n">
        <v>0.26</v>
      </c>
      <c r="F7" s="8" t="n">
        <v>2.6</v>
      </c>
      <c r="G7" s="8" t="n">
        <v>0.8100000000000001</v>
      </c>
      <c r="H7" s="8" t="n">
        <v>8.140000000000001</v>
      </c>
      <c r="I7" s="6" t="n">
        <v>1300</v>
      </c>
      <c r="O7" s="3" t="inlineStr">
        <is>
          <t>Termici: numeri portati dal PDF archiviato in @ Oldies/proprieta_termiche_materiali.pdf (21 ottobre 2026). Da usare è questo file. Il calore specifico non era stampato: è ricavato dallo sfasamento a 10 cm.</t>
        </is>
      </c>
      <c r="P7" s="9" t="n">
        <v>33.4</v>
      </c>
      <c r="Q7" t="inlineStr">
        <is>
          <t>€/m²</t>
        </is>
      </c>
      <c r="R7" t="n">
        <v>50</v>
      </c>
      <c r="S7" t="inlineStr">
        <is>
          <t>ottobre 2026</t>
        </is>
      </c>
      <c r="T7" s="10" t="inlineStr">
        <is>
          <t>Prezzario Liguria 2026, PR.A17.C05.040</t>
        </is>
      </c>
      <c r="U7" s="3" t="inlineStr">
        <is>
          <t>Pannello di fibra di legno mineralizzata, spessore 5 cm. Non è il pannello di fibra di legno nuda. IVA esclusa. Franco cantiere, senza posa. Nel prezzo del prezzario ci sono anche il 15% di spese generali e il 10% di utile. Listino aggiornato l'11 febbraio 2026, ancora in vigore a ottobre.</t>
        </is>
      </c>
      <c r="V7" s="11">
        <f>IF(Q7="€/m³",P7,IF(AND(Q7="€/m²",R7&gt;0),P7/(R7/1000),IF(Q7="€/kg",P7*D7,"")))</f>
        <v/>
      </c>
    </row>
    <row r="8">
      <c r="A8" s="5" t="n">
        <v>7</v>
      </c>
      <c r="B8" s="5" t="inlineStr">
        <is>
          <t>A - Pannelli</t>
        </is>
      </c>
      <c r="C8" s="5" t="inlineStr">
        <is>
          <t>Compensato</t>
        </is>
      </c>
      <c r="D8" s="6" t="n">
        <v>600</v>
      </c>
      <c r="E8" s="7" t="n">
        <v>0.44</v>
      </c>
      <c r="F8" s="8" t="n">
        <v>4.4</v>
      </c>
      <c r="G8" s="8" t="n">
        <v>0.48</v>
      </c>
      <c r="H8" s="8" t="n">
        <v>4.81</v>
      </c>
      <c r="I8" s="6" t="n">
        <v>1600</v>
      </c>
      <c r="O8" s="3" t="inlineStr">
        <is>
          <t>Termici: numeri portati dal PDF archiviato in @ Oldies/proprieta_termiche_materiali.pdf (21 ottobre 2026). Da usare è questo file. Il calore specifico non era stampato: è ricavato dallo sfasamento a 10 cm.</t>
        </is>
      </c>
      <c r="P8" s="9" t="n">
        <v>24.67</v>
      </c>
      <c r="Q8" t="inlineStr">
        <is>
          <t>€/m²</t>
        </is>
      </c>
      <c r="R8" t="n">
        <v>4</v>
      </c>
      <c r="S8" t="inlineStr">
        <is>
          <t>ottobre 2026</t>
        </is>
      </c>
      <c r="T8" s="10" t="inlineStr">
        <is>
          <t>Prezzario Liguria 2026, PR.A08.A20.040</t>
        </is>
      </c>
      <c r="U8" s="3" t="inlineStr">
        <is>
          <t>Compensato di pioppo, spessore 4 mm. IVA esclusa. Franco cantiere, senza posa. Nel prezzo del prezzario ci sono anche il 15% di spese generali e il 10% di utile. Listino aggiornato l'11 febbraio 2026, ancora in vigore a ottobre.</t>
        </is>
      </c>
      <c r="V8" s="11">
        <f>IF(Q8="€/m³",P8,IF(AND(Q8="€/m²",R8&gt;0),P8/(R8/1000),IF(Q8="€/kg",P8*D8,"")))</f>
        <v/>
      </c>
    </row>
    <row r="9">
      <c r="A9" s="5" t="n">
        <v>8</v>
      </c>
      <c r="B9" s="5" t="inlineStr">
        <is>
          <t>A - Pannelli</t>
        </is>
      </c>
      <c r="C9" s="5" t="inlineStr">
        <is>
          <t>Fibrocemento</t>
        </is>
      </c>
      <c r="D9" s="6" t="n">
        <v>2000</v>
      </c>
      <c r="E9" s="7" t="n">
        <v>0.6</v>
      </c>
      <c r="F9" s="8" t="n">
        <v>6</v>
      </c>
      <c r="G9" s="8" t="n">
        <v>0.59</v>
      </c>
      <c r="H9" s="8" t="n">
        <v>5.95</v>
      </c>
      <c r="I9" s="6" t="n">
        <v>1000</v>
      </c>
      <c r="O9" s="3" t="inlineStr">
        <is>
          <t>Termici: numeri portati dal PDF archiviato in @ Oldies/proprieta_termiche_materiali.pdf (21 ottobre 2026). Da usare è questo file. Il calore specifico non era stampato: è ricavato dallo sfasamento a 10 cm.</t>
        </is>
      </c>
      <c r="U9" s="3" t="inlineStr">
        <is>
          <t>Nel prezzario Liguria 2026 non c'è una voce del solo materiale, senza la posa. La cella del prezzo resta vuota.</t>
        </is>
      </c>
      <c r="V9" s="11">
        <f>IF(Q9="€/m³",P9,IF(AND(Q9="€/m²",R9&gt;0),P9/(R9/1000),IF(Q9="€/kg",P9*D9,"")))</f>
        <v/>
      </c>
    </row>
    <row r="10">
      <c r="A10" s="5" t="n">
        <v>9</v>
      </c>
      <c r="B10" s="5" t="inlineStr">
        <is>
          <t>A - Pannelli</t>
        </is>
      </c>
      <c r="C10" s="5" t="inlineStr">
        <is>
          <t>Legno mineralizzato</t>
        </is>
      </c>
      <c r="D10" s="6" t="n">
        <v>400</v>
      </c>
      <c r="E10" s="7" t="n">
        <v>0.093</v>
      </c>
      <c r="F10" s="8" t="n">
        <v>0.93</v>
      </c>
      <c r="G10" s="8" t="n">
        <v>0.83</v>
      </c>
      <c r="H10" s="8" t="n">
        <v>8.27</v>
      </c>
      <c r="I10" s="6" t="n">
        <v>1500</v>
      </c>
      <c r="O10" s="3" t="inlineStr">
        <is>
          <t>Termici: numeri portati dal PDF archiviato in @ Oldies/proprieta_termiche_materiali.pdf (21 ottobre 2026). Da usare è questo file. Il calore specifico non era stampato: è ricavato dallo sfasamento a 10 cm.</t>
        </is>
      </c>
      <c r="P10" s="9" t="n">
        <v>33.4</v>
      </c>
      <c r="Q10" t="inlineStr">
        <is>
          <t>€/m²</t>
        </is>
      </c>
      <c r="R10" t="n">
        <v>50</v>
      </c>
      <c r="S10" t="inlineStr">
        <is>
          <t>ottobre 2026</t>
        </is>
      </c>
      <c r="T10" s="10" t="inlineStr">
        <is>
          <t>Prezzario Liguria 2026, PR.A17.C05.040</t>
        </is>
      </c>
      <c r="U10" s="3" t="inlineStr">
        <is>
          <t>Stessa voce dei pannelli mineralizzati: fibra di legno mineralizzata, 5 cm. IVA esclusa. Franco cantiere, senza posa. Nel prezzo del prezzario ci sono anche il 15% di spese generali e il 10% di utile. Listino aggiornato l'11 febbraio 2026, ancora in vigore a ottobre.</t>
        </is>
      </c>
      <c r="V10" s="11">
        <f>IF(Q10="€/m³",P10,IF(AND(Q10="€/m²",R10&gt;0),P10/(R10/1000),IF(Q10="€/kg",P10*D10,"")))</f>
        <v/>
      </c>
    </row>
    <row r="11">
      <c r="A11" s="5" t="n">
        <v>10</v>
      </c>
      <c r="B11" s="5" t="inlineStr">
        <is>
          <t>A - Pannelli</t>
        </is>
      </c>
      <c r="C11" s="5" t="inlineStr">
        <is>
          <t>Terra cruda</t>
        </is>
      </c>
      <c r="D11" s="6" t="n">
        <v>500</v>
      </c>
      <c r="E11" s="7" t="n">
        <v>0.14</v>
      </c>
      <c r="F11" s="8" t="n">
        <v>1.4</v>
      </c>
      <c r="G11" s="8" t="n">
        <v>0.62</v>
      </c>
      <c r="H11" s="8" t="n">
        <v>6.16</v>
      </c>
      <c r="I11" s="6" t="n">
        <v>1000</v>
      </c>
      <c r="O11" s="3" t="inlineStr">
        <is>
          <t>Termici: numeri portati dal PDF archiviato in @ Oldies/proprieta_termiche_materiali.pdf (21 ottobre 2026). Da usare è questo file. Il calore specifico non era stampato: è ricavato dallo sfasamento a 10 cm.</t>
        </is>
      </c>
      <c r="U11" s="3" t="inlineStr">
        <is>
          <t>Nel prezzario Liguria 2026 non c'è una voce del solo materiale, senza la posa. La cella del prezzo resta vuota.</t>
        </is>
      </c>
      <c r="V11" s="11">
        <f>IF(Q11="€/m³",P11,IF(AND(Q11="€/m²",R11&gt;0),P11/(R11/1000),IF(Q11="€/kg",P11*D11,"")))</f>
        <v/>
      </c>
    </row>
    <row r="12">
      <c r="A12" s="5" t="n">
        <v>11</v>
      </c>
      <c r="B12" s="5" t="inlineStr">
        <is>
          <t>A - Pannelli</t>
        </is>
      </c>
      <c r="C12" s="5" t="inlineStr">
        <is>
          <t>Canna</t>
        </is>
      </c>
      <c r="D12" s="6" t="n">
        <v>190</v>
      </c>
      <c r="E12" s="7" t="n">
        <v>0.055</v>
      </c>
      <c r="F12" s="8" t="n">
        <v>0.55</v>
      </c>
      <c r="G12" s="8" t="n">
        <v>0.8100000000000001</v>
      </c>
      <c r="H12" s="8" t="n">
        <v>8.119999999999999</v>
      </c>
      <c r="I12" s="6" t="n">
        <v>1800</v>
      </c>
      <c r="O12" s="3" t="inlineStr">
        <is>
          <t>Termici: numeri portati dal PDF archiviato in @ Oldies/proprieta_termiche_materiali.pdf (21 ottobre 2026). Da usare è questo file. Il calore specifico non era stampato: è ricavato dallo sfasamento a 10 cm.</t>
        </is>
      </c>
      <c r="P12" s="9" t="n">
        <v>6.33</v>
      </c>
      <c r="Q12" t="inlineStr">
        <is>
          <t>€/m²</t>
        </is>
      </c>
      <c r="S12" t="inlineStr">
        <is>
          <t>ottobre 2026</t>
        </is>
      </c>
      <c r="T12" s="10" t="inlineStr">
        <is>
          <t>Prezzario Liguria 2026, PR.A22.A15.010</t>
        </is>
      </c>
      <c r="U12" s="3" t="inlineStr">
        <is>
          <t>Canniccio in rotoli per controsoffitto. Lo spessore non è scritto nella voce. IVA esclusa. Franco cantiere, senza posa. Nel prezzo del prezzario ci sono anche il 15% di spese generali e il 10% di utile. Listino aggiornato l'11 febbraio 2026, ancora in vigore a ottobre.</t>
        </is>
      </c>
      <c r="V12" s="11">
        <f>IF(Q12="€/m³",P12,IF(AND(Q12="€/m²",R12&gt;0),P12/(R12/1000),IF(Q12="€/kg",P12*D12,"")))</f>
        <v/>
      </c>
    </row>
    <row r="13">
      <c r="A13" s="5" t="n">
        <v>12</v>
      </c>
      <c r="B13" s="5" t="inlineStr">
        <is>
          <t>A - Pannelli</t>
        </is>
      </c>
      <c r="C13" s="5" t="inlineStr">
        <is>
          <t>Paglia</t>
        </is>
      </c>
      <c r="D13" s="6" t="n">
        <v>340</v>
      </c>
      <c r="E13" s="7" t="n">
        <v>0.09</v>
      </c>
      <c r="F13" s="8" t="n">
        <v>0.9</v>
      </c>
      <c r="G13" s="8" t="n">
        <v>0.85</v>
      </c>
      <c r="H13" s="8" t="n">
        <v>8.49</v>
      </c>
      <c r="I13" s="6" t="n">
        <v>1800</v>
      </c>
      <c r="O13" s="3" t="inlineStr">
        <is>
          <t>Termici: numeri portati dal PDF archiviato in @ Oldies/proprieta_termiche_materiali.pdf (21 ottobre 2026). Da usare è questo file. Il calore specifico non era stampato: è ricavato dallo sfasamento a 10 cm.</t>
        </is>
      </c>
      <c r="U13" s="3" t="inlineStr">
        <is>
          <t>Nel prezzario Liguria 2026 non c'è una voce del solo materiale, senza la posa. La cella del prezzo resta vuota.</t>
        </is>
      </c>
      <c r="V13" s="11">
        <f>IF(Q13="€/m³",P13,IF(AND(Q13="€/m²",R13&gt;0),P13/(R13/1000),IF(Q13="€/kg",P13*D13,"")))</f>
        <v/>
      </c>
    </row>
    <row r="14">
      <c r="A14" s="5" t="n">
        <v>13</v>
      </c>
      <c r="B14" s="5" t="inlineStr">
        <is>
          <t>A - Pannelli</t>
        </is>
      </c>
      <c r="C14" s="5" t="inlineStr">
        <is>
          <t>Polistirene-cemento</t>
        </is>
      </c>
      <c r="D14" s="6" t="n">
        <v>140</v>
      </c>
      <c r="E14" s="7" t="n">
        <v>0.07000000000000001</v>
      </c>
      <c r="F14" s="8" t="n">
        <v>0.7</v>
      </c>
      <c r="G14" s="8" t="n">
        <v>0.5</v>
      </c>
      <c r="H14" s="8" t="n">
        <v>5.05</v>
      </c>
      <c r="I14" s="6" t="n">
        <v>1200</v>
      </c>
      <c r="O14" s="3" t="inlineStr">
        <is>
          <t>Termici: numeri portati dal PDF archiviato in @ Oldies/proprieta_termiche_materiali.pdf (21 ottobre 2026). Da usare è questo file. Il calore specifico non era stampato: è ricavato dallo sfasamento a 10 cm.</t>
        </is>
      </c>
      <c r="U14" s="3" t="inlineStr">
        <is>
          <t>Nel prezzario Liguria 2026 non c'è una voce del solo materiale, senza la posa. La cella del prezzo resta vuota.</t>
        </is>
      </c>
      <c r="V14" s="11">
        <f>IF(Q14="€/m³",P14,IF(AND(Q14="€/m²",R14&gt;0),P14/(R14/1000),IF(Q14="€/kg",P14*D14,"")))</f>
        <v/>
      </c>
    </row>
    <row r="15">
      <c r="A15" s="5" t="n">
        <v>14</v>
      </c>
      <c r="B15" s="5" t="inlineStr">
        <is>
          <t>B - Isolanti</t>
        </is>
      </c>
      <c r="C15" s="5" t="inlineStr">
        <is>
          <t>Cotone</t>
        </is>
      </c>
      <c r="D15" s="6" t="n">
        <v>30</v>
      </c>
      <c r="E15" s="7" t="n">
        <v>0.04</v>
      </c>
      <c r="F15" s="8" t="n">
        <v>0.4</v>
      </c>
      <c r="G15" s="8" t="n">
        <v>0.36</v>
      </c>
      <c r="H15" s="8" t="n">
        <v>3.57</v>
      </c>
      <c r="I15" s="6" t="n">
        <v>1600</v>
      </c>
      <c r="O15" s="3" t="inlineStr">
        <is>
          <t>Termici: numeri portati dal PDF archiviato in @ Oldies/proprieta_termiche_materiali.pdf (21 ottobre 2026). Da usare è questo file. Il calore specifico non era stampato: è ricavato dallo sfasamento a 10 cm.</t>
        </is>
      </c>
      <c r="U15" s="3" t="inlineStr">
        <is>
          <t>Nel prezzario Liguria 2026 non c'è una voce del solo materiale, senza la posa. La cella del prezzo resta vuota.</t>
        </is>
      </c>
      <c r="V15" s="11">
        <f>IF(Q15="€/m³",P15,IF(AND(Q15="€/m²",R15&gt;0),P15/(R15/1000),IF(Q15="€/kg",P15*D15,"")))</f>
        <v/>
      </c>
    </row>
    <row r="16">
      <c r="A16" s="5" t="n">
        <v>15</v>
      </c>
      <c r="B16" s="5" t="inlineStr">
        <is>
          <t>B - Isolanti</t>
        </is>
      </c>
      <c r="C16" s="5" t="inlineStr">
        <is>
          <t>Vermiculite espansa</t>
        </is>
      </c>
      <c r="D16" s="6" t="n">
        <v>90</v>
      </c>
      <c r="E16" s="7" t="n">
        <v>0.07000000000000001</v>
      </c>
      <c r="F16" s="8" t="n">
        <v>0.7</v>
      </c>
      <c r="G16" s="8" t="n">
        <v>0.38</v>
      </c>
      <c r="H16" s="8" t="n">
        <v>3.84</v>
      </c>
      <c r="I16" s="6" t="n">
        <v>1080</v>
      </c>
      <c r="O16" s="3" t="inlineStr">
        <is>
          <t>Termici: numeri portati dal PDF archiviato in @ Oldies/proprieta_termiche_materiali.pdf (21 ottobre 2026). Da usare è questo file. Il calore specifico non era stampato: è ricavato dallo sfasamento a 10 cm.</t>
        </is>
      </c>
      <c r="U16" s="3" t="inlineStr">
        <is>
          <t>Nel prezzario Liguria 2026 non c'è una voce del solo materiale, senza la posa. La cella del prezzo resta vuota.</t>
        </is>
      </c>
      <c r="V16" s="11">
        <f>IF(Q16="€/m³",P16,IF(AND(Q16="€/m²",R16&gt;0),P16/(R16/1000),IF(Q16="€/kg",P16*D16,"")))</f>
        <v/>
      </c>
    </row>
    <row r="17">
      <c r="A17" s="5" t="n">
        <v>16</v>
      </c>
      <c r="B17" s="5" t="inlineStr">
        <is>
          <t>B - Isolanti</t>
        </is>
      </c>
      <c r="C17" s="5" t="inlineStr">
        <is>
          <t>Argilla espansa</t>
        </is>
      </c>
      <c r="D17" s="6" t="n">
        <v>350</v>
      </c>
      <c r="E17" s="7" t="n">
        <v>0.09</v>
      </c>
      <c r="F17" s="8" t="n">
        <v>0.9</v>
      </c>
      <c r="G17" s="8" t="n">
        <v>0.64</v>
      </c>
      <c r="H17" s="8" t="n">
        <v>6.42</v>
      </c>
      <c r="I17" s="6" t="n">
        <v>1000</v>
      </c>
      <c r="O17" s="3" t="inlineStr">
        <is>
          <t>Termici: numeri portati dal PDF archiviato in @ Oldies/proprieta_termiche_materiali.pdf (21 ottobre 2026). Da usare è questo file. Il calore specifico non era stampato: è ricavato dallo sfasamento a 10 cm.</t>
        </is>
      </c>
      <c r="P17" s="9" t="n">
        <v>162.39</v>
      </c>
      <c r="Q17" t="inlineStr">
        <is>
          <t>€/m³</t>
        </is>
      </c>
      <c r="S17" t="inlineStr">
        <is>
          <t>ottobre 2026</t>
        </is>
      </c>
      <c r="T17" s="10" t="inlineStr">
        <is>
          <t>Prezzario Liguria 2026, PR.A17.P01.010</t>
        </is>
      </c>
      <c r="U17" s="3" t="inlineStr">
        <is>
          <t>Granuli, densità dichiarata 320 kg/m³. La riga termica può avere un'altra densità. IVA esclusa. Franco cantiere, senza posa. Nel prezzo del prezzario ci sono anche il 15% di spese generali e il 10% di utile. Listino aggiornato l'11 febbraio 2026, ancora in vigore a ottobre.</t>
        </is>
      </c>
      <c r="V17" s="11">
        <f>IF(Q17="€/m³",P17,IF(AND(Q17="€/m²",R17&gt;0),P17/(R17/1000),IF(Q17="€/kg",P17*D17,"")))</f>
        <v/>
      </c>
    </row>
    <row r="18">
      <c r="A18" s="5" t="n">
        <v>17</v>
      </c>
      <c r="B18" s="5" t="inlineStr">
        <is>
          <t>B - Isolanti</t>
        </is>
      </c>
      <c r="C18" s="5" t="inlineStr">
        <is>
          <t>Polietilene espanso in lastre</t>
        </is>
      </c>
      <c r="D18" s="6" t="n">
        <v>30</v>
      </c>
      <c r="E18" s="7" t="n">
        <v>0.04</v>
      </c>
      <c r="F18" s="8" t="n">
        <v>0.4</v>
      </c>
      <c r="G18" s="8" t="n">
        <v>0.43</v>
      </c>
      <c r="H18" s="8" t="n">
        <v>4.28</v>
      </c>
      <c r="I18" s="6" t="n">
        <v>2300</v>
      </c>
      <c r="O18" s="3" t="inlineStr">
        <is>
          <t>Termici: numeri portati dal PDF archiviato in @ Oldies/proprieta_termiche_materiali.pdf (21 ottobre 2026). Da usare è questo file. Il calore specifico non era stampato: è ricavato dallo sfasamento a 10 cm.</t>
        </is>
      </c>
      <c r="U18" s="3" t="inlineStr">
        <is>
          <t>Nel prezzario Liguria 2026 non c'è una voce del solo materiale, senza la posa. La cella del prezzo resta vuota.</t>
        </is>
      </c>
      <c r="V18" s="11">
        <f>IF(Q18="€/m³",P18,IF(AND(Q18="€/m²",R18&gt;0),P18/(R18/1000),IF(Q18="€/kg",P18*D18,"")))</f>
        <v/>
      </c>
    </row>
    <row r="19">
      <c r="A19" s="5" t="n">
        <v>18</v>
      </c>
      <c r="B19" s="5" t="inlineStr">
        <is>
          <t>B - Isolanti</t>
        </is>
      </c>
      <c r="C19" s="5" t="inlineStr">
        <is>
          <t>Polistirene espanso in lastre</t>
        </is>
      </c>
      <c r="D19" s="6" t="n">
        <v>20</v>
      </c>
      <c r="E19" s="7" t="n">
        <v>0.04</v>
      </c>
      <c r="F19" s="8" t="n">
        <v>0.4</v>
      </c>
      <c r="G19" s="8" t="n">
        <v>0.28</v>
      </c>
      <c r="H19" s="8" t="n">
        <v>2.77</v>
      </c>
      <c r="I19" s="6" t="n">
        <v>1450</v>
      </c>
      <c r="O19" s="3" t="inlineStr">
        <is>
          <t>Termici: numeri portati dal PDF archiviato in @ Oldies/proprieta_termiche_materiali.pdf (21 ottobre 2026). Da usare è questo file. Il calore specifico non era stampato: è ricavato dallo sfasamento a 10 cm.</t>
        </is>
      </c>
      <c r="P19" s="9" t="n">
        <v>18.75</v>
      </c>
      <c r="Q19" t="inlineStr">
        <is>
          <t>€/m²</t>
        </is>
      </c>
      <c r="R19" t="n">
        <v>100</v>
      </c>
      <c r="S19" t="inlineStr">
        <is>
          <t>ottobre 2026</t>
        </is>
      </c>
      <c r="T19" s="10" t="inlineStr">
        <is>
          <t>Prezzario Liguria 2026, PR.A17.U05.030</t>
        </is>
      </c>
      <c r="U19" s="3" t="inlineStr">
        <is>
          <t>EPS da cappotto, densità circa 15 kg/m³, spessore 10 cm. IVA esclusa. Franco cantiere, senza posa. Nel prezzo del prezzario ci sono anche il 15% di spese generali e il 10% di utile. Listino aggiornato l'11 febbraio 2026, ancora in vigore a ottobre.</t>
        </is>
      </c>
      <c r="V19" s="11">
        <f>IF(Q19="€/m³",P19,IF(AND(Q19="€/m²",R19&gt;0),P19/(R19/1000),IF(Q19="€/kg",P19*D19,"")))</f>
        <v/>
      </c>
    </row>
    <row r="20">
      <c r="A20" s="5" t="n">
        <v>19</v>
      </c>
      <c r="B20" s="5" t="inlineStr">
        <is>
          <t>B - Isolanti</t>
        </is>
      </c>
      <c r="C20" s="5" t="inlineStr">
        <is>
          <t>Polistirene estruso in lastre</t>
        </is>
      </c>
      <c r="D20" s="6" t="n">
        <v>35</v>
      </c>
      <c r="E20" s="7" t="n">
        <v>0.035</v>
      </c>
      <c r="F20" s="8" t="n">
        <v>0.35</v>
      </c>
      <c r="G20" s="8" t="n">
        <v>0.39</v>
      </c>
      <c r="H20" s="8" t="n">
        <v>3.92</v>
      </c>
      <c r="I20" s="6" t="n">
        <v>1450</v>
      </c>
      <c r="O20" s="3" t="inlineStr">
        <is>
          <t>Termici: numeri portati dal PDF archiviato in @ Oldies/proprieta_termiche_materiali.pdf (21 ottobre 2026). Da usare è questo file. Il calore specifico non era stampato: è ricavato dallo sfasamento a 10 cm.</t>
        </is>
      </c>
      <c r="P20" s="9" t="n">
        <v>17.71</v>
      </c>
      <c r="Q20" t="inlineStr">
        <is>
          <t>€/m²</t>
        </is>
      </c>
      <c r="R20" t="n">
        <v>100</v>
      </c>
      <c r="S20" t="inlineStr">
        <is>
          <t>ottobre 2026</t>
        </is>
      </c>
      <c r="T20" s="10" t="inlineStr">
        <is>
          <t>Prezzario Liguria 2026, PR.A17.W02.050</t>
        </is>
      </c>
      <c r="U20" s="3" t="inlineStr">
        <is>
          <t>XPS, voce da 10 cm. Il prezzario segna l'unità «m²/cm», ma le voci da 6 e da 8 cm sono al m² e i prezzi crescono con lo spessore: 17,71 è il prezzo di quella da 10 cm, usato qui al m². IVA esclusa. Franco cantiere, senza posa. Nel prezzo del prezzario ci sono anche il 15% di spese generali e il 10% di utile. Listino aggiornato l'11 febbraio 2026, ancora in vigore a ottobre.</t>
        </is>
      </c>
      <c r="V20" s="11">
        <f>IF(Q20="€/m³",P20,IF(AND(Q20="€/m²",R20&gt;0),P20/(R20/1000),IF(Q20="€/kg",P20*D20,"")))</f>
        <v/>
      </c>
    </row>
    <row r="21">
      <c r="A21" s="5" t="n">
        <v>20</v>
      </c>
      <c r="B21" s="5" t="inlineStr">
        <is>
          <t>B - Isolanti</t>
        </is>
      </c>
      <c r="C21" s="5" t="inlineStr">
        <is>
          <t>Materassino in lino</t>
        </is>
      </c>
      <c r="D21" s="6" t="n">
        <v>30</v>
      </c>
      <c r="E21" s="7" t="n">
        <v>0.04</v>
      </c>
      <c r="F21" s="8" t="n">
        <v>0.4</v>
      </c>
      <c r="G21" s="8" t="n">
        <v>0.36</v>
      </c>
      <c r="H21" s="8" t="n">
        <v>3.57</v>
      </c>
      <c r="I21" s="6" t="n">
        <v>1600</v>
      </c>
      <c r="O21" s="3" t="inlineStr">
        <is>
          <t>Termici: numeri portati dal PDF archiviato in @ Oldies/proprieta_termiche_materiali.pdf (21 ottobre 2026). Da usare è questo file. Il calore specifico non era stampato: è ricavato dallo sfasamento a 10 cm.</t>
        </is>
      </c>
      <c r="U21" s="3" t="inlineStr">
        <is>
          <t>Nel prezzario Liguria 2026 non c'è una voce del solo materiale, senza la posa. La cella del prezzo resta vuota.</t>
        </is>
      </c>
      <c r="V21" s="11">
        <f>IF(Q21="€/m³",P21,IF(AND(Q21="€/m²",R21&gt;0),P21/(R21/1000),IF(Q21="€/kg",P21*D21,"")))</f>
        <v/>
      </c>
    </row>
    <row r="22">
      <c r="A22" s="5" t="n">
        <v>21</v>
      </c>
      <c r="B22" s="5" t="inlineStr">
        <is>
          <t>B - Isolanti</t>
        </is>
      </c>
      <c r="C22" s="5" t="inlineStr">
        <is>
          <t>Lana di vetro</t>
        </is>
      </c>
      <c r="D22" s="6" t="n">
        <v>20</v>
      </c>
      <c r="E22" s="7" t="n">
        <v>0.04</v>
      </c>
      <c r="F22" s="8" t="n">
        <v>0.4</v>
      </c>
      <c r="G22" s="8" t="n">
        <v>0.23</v>
      </c>
      <c r="H22" s="8" t="n">
        <v>2.34</v>
      </c>
      <c r="I22" s="6" t="n">
        <v>1030</v>
      </c>
      <c r="O22" s="3" t="inlineStr">
        <is>
          <t>Termici: numeri portati dal PDF archiviato in @ Oldies/proprieta_termiche_materiali.pdf (21 ottobre 2026). Da usare è questo file. Il calore specifico non era stampato: è ricavato dallo sfasamento a 10 cm.</t>
        </is>
      </c>
      <c r="P22" s="9" t="n">
        <v>7.1</v>
      </c>
      <c r="Q22" t="inlineStr">
        <is>
          <t>€/m²</t>
        </is>
      </c>
      <c r="R22" t="n">
        <v>100</v>
      </c>
      <c r="S22" t="inlineStr">
        <is>
          <t>ottobre 2026</t>
        </is>
      </c>
      <c r="T22" s="10" t="inlineStr">
        <is>
          <t>Prezzario Liguria 2026, PR.A17.Z01.040</t>
        </is>
      </c>
      <c r="U22" s="3" t="inlineStr">
        <is>
          <t>Pannello, densità 20 kg/m³, spessore 10 cm. IVA esclusa. Franco cantiere, senza posa. Nel prezzo del prezzario ci sono anche il 15% di spese generali e il 10% di utile. Listino aggiornato l'11 febbraio 2026, ancora in vigore a ottobre.</t>
        </is>
      </c>
      <c r="V22" s="11">
        <f>IF(Q22="€/m³",P22,IF(AND(Q22="€/m²",R22&gt;0),P22/(R22/1000),IF(Q22="€/kg",P22*D22,"")))</f>
        <v/>
      </c>
    </row>
    <row r="23">
      <c r="A23" s="5" t="n">
        <v>22</v>
      </c>
      <c r="B23" s="5" t="inlineStr">
        <is>
          <t>B - Isolanti</t>
        </is>
      </c>
      <c r="C23" s="5" t="inlineStr">
        <is>
          <t>Canapa</t>
        </is>
      </c>
      <c r="D23" s="6" t="n">
        <v>25</v>
      </c>
      <c r="E23" s="7" t="n">
        <v>0.045</v>
      </c>
      <c r="F23" s="8" t="n">
        <v>0.45</v>
      </c>
      <c r="G23" s="8" t="n">
        <v>0.32</v>
      </c>
      <c r="H23" s="8" t="n">
        <v>3.17</v>
      </c>
      <c r="I23" s="6" t="n">
        <v>1700</v>
      </c>
      <c r="O23" s="3" t="inlineStr">
        <is>
          <t>Termici: numeri portati dal PDF archiviato in @ Oldies/proprieta_termiche_materiali.pdf (21 ottobre 2026). Da usare è questo file. Il calore specifico non era stampato: è ricavato dallo sfasamento a 10 cm.</t>
        </is>
      </c>
      <c r="P23" s="9" t="n">
        <v>18.33</v>
      </c>
      <c r="Q23" t="inlineStr">
        <is>
          <t>€/m²</t>
        </is>
      </c>
      <c r="R23" t="n">
        <v>40</v>
      </c>
      <c r="S23" t="inlineStr">
        <is>
          <t>ottobre 2026</t>
        </is>
      </c>
      <c r="T23" s="16" t="inlineStr">
        <is>
          <t>Artimestieri, canapa e kenaf, 4 cm</t>
        </is>
      </c>
      <c r="U23" s="3" t="inlineStr">
        <is>
          <t>Pacco da 4 cm, 120×60 cm, 10,8 m², 198 euro: 18,33 euro al m², IVA inclusa. Densità dichiarata 40 kg/m³; questa riga termica ne ha 25. Sullo stesso sito ci sono anche 8, 10 e 12 cm, ma il prezzo al m² scritto in pagina è quello del pacco da 4 cm. Minimo due confezioni. Un solo controllo, non una media. Senza posa.</t>
        </is>
      </c>
      <c r="V23" s="11">
        <f>IF(Q23="€/m³",P23,IF(AND(Q23="€/m²",R23&gt;0),P23/(R23/1000),IF(Q23="€/kg",P23*D23,"")))</f>
        <v/>
      </c>
    </row>
    <row r="24">
      <c r="A24" s="5" t="n">
        <v>23</v>
      </c>
      <c r="B24" s="5" t="inlineStr">
        <is>
          <t>B - Isolanti</t>
        </is>
      </c>
      <c r="C24" s="5" t="inlineStr">
        <is>
          <t>Trucioli di legno</t>
        </is>
      </c>
      <c r="D24" s="6" t="n">
        <v>100</v>
      </c>
      <c r="E24" s="7" t="n">
        <v>0.05</v>
      </c>
      <c r="F24" s="8" t="n">
        <v>0.5</v>
      </c>
      <c r="G24" s="8" t="n">
        <v>0.67</v>
      </c>
      <c r="H24" s="8" t="n">
        <v>6.68</v>
      </c>
      <c r="I24" s="6" t="n">
        <v>2100</v>
      </c>
      <c r="O24" s="3" t="inlineStr">
        <is>
          <t>Termici: numeri portati dal PDF archiviato in @ Oldies/proprieta_termiche_materiali.pdf (21 ottobre 2026). Da usare è questo file. Il calore specifico non era stampato: è ricavato dallo sfasamento a 10 cm.</t>
        </is>
      </c>
      <c r="U24" s="3" t="inlineStr">
        <is>
          <t>Nel prezzario Liguria 2026 non c'è una voce del solo materiale, senza la posa. La cella del prezzo resta vuota.</t>
        </is>
      </c>
      <c r="V24" s="11">
        <f>IF(Q24="€/m³",P24,IF(AND(Q24="€/m²",R24&gt;0),P24/(R24/1000),IF(Q24="€/kg",P24*D24,"")))</f>
        <v/>
      </c>
    </row>
    <row r="25">
      <c r="A25" s="5" t="n">
        <v>24</v>
      </c>
      <c r="B25" s="5" t="inlineStr">
        <is>
          <t>B - Isolanti</t>
        </is>
      </c>
      <c r="C25" s="5" t="inlineStr">
        <is>
          <t>Pann. extraporosi fibra di legno (130)</t>
        </is>
      </c>
      <c r="D25" s="6" t="n">
        <v>130</v>
      </c>
      <c r="E25" s="7" t="n">
        <v>0.04</v>
      </c>
      <c r="F25" s="8" t="n">
        <v>0.4</v>
      </c>
      <c r="G25" s="8" t="n">
        <v>0.85</v>
      </c>
      <c r="H25" s="8" t="n">
        <v>8.51</v>
      </c>
      <c r="I25" s="6" t="n">
        <v>2100</v>
      </c>
      <c r="O25" s="3" t="inlineStr">
        <is>
          <t>Termici: numeri portati dal PDF archiviato in @ Oldies/proprieta_termiche_materiali.pdf (21 ottobre 2026). Da usare è questo file. Il calore specifico non era stampato: è ricavato dallo sfasamento a 10 cm.</t>
        </is>
      </c>
      <c r="P25" s="9" t="n">
        <v>32.69</v>
      </c>
      <c r="Q25" t="inlineStr">
        <is>
          <t>€/m²</t>
        </is>
      </c>
      <c r="R25" t="n">
        <v>100</v>
      </c>
      <c r="S25" t="inlineStr">
        <is>
          <t>aprile 2025</t>
        </is>
      </c>
      <c r="T25" s="16" t="inlineStr">
        <is>
          <t>Listino STEICO, aprile 2025, special dry 100 mm</t>
        </is>
      </c>
      <c r="U25" s="3" t="inlineStr">
        <is>
          <t>STEICOspecial dry, 100 mm, formato 1880×600 mm, 32,69 euro al m². Il produttore indica circa 140 kg/m³ e lambda 0,040: è il pannello più vicino a questa riga (130 kg/m³, lambda 0,04). Listino valido dal 1 aprile 2025. La prima pagina non scrive se l'IVA è compresa: i listini del produttore di questo tipo sono di solito IVA esclusa. Non è un prezzo di negozio. Lo stesso listino, per il pannello flessibile da 100 mm (1220×575 mm, circa 50 kg/m³, che qui non ha una riga), segna 13,27 euro al m². La riga da 190 kg/m³ resta vuota: non è questo prodotto. Senza posa. Un solo controllo.</t>
        </is>
      </c>
      <c r="V25" s="11">
        <f>IF(Q25="€/m³",P25,IF(AND(Q25="€/m²",R25&gt;0),P25/(R25/1000),IF(Q25="€/kg",P25*D25,"")))</f>
        <v/>
      </c>
    </row>
    <row r="26">
      <c r="A26" s="5" t="n">
        <v>25</v>
      </c>
      <c r="B26" s="5" t="inlineStr">
        <is>
          <t>B - Isolanti</t>
        </is>
      </c>
      <c r="C26" s="5" t="inlineStr">
        <is>
          <t>Pann. porosi fibra di legno (190)</t>
        </is>
      </c>
      <c r="D26" s="6" t="n">
        <v>190</v>
      </c>
      <c r="E26" s="7" t="n">
        <v>0.045</v>
      </c>
      <c r="F26" s="8" t="n">
        <v>0.45</v>
      </c>
      <c r="G26" s="8" t="n">
        <v>0.97</v>
      </c>
      <c r="H26" s="8" t="n">
        <v>9.699999999999999</v>
      </c>
      <c r="I26" s="6" t="n">
        <v>2100</v>
      </c>
      <c r="O26" s="3" t="inlineStr">
        <is>
          <t>Termici: numeri portati dal PDF archiviato in @ Oldies/proprieta_termiche_materiali.pdf (21 ottobre 2026). Da usare è questo file. Il calore specifico non era stampato: è ricavato dallo sfasamento a 10 cm.</t>
        </is>
      </c>
      <c r="U26" s="3" t="inlineStr">
        <is>
          <t>Nel prezzario Liguria 2026 non c'è una voce del solo materiale, senza la posa. La cella del prezzo resta vuota.</t>
        </is>
      </c>
      <c r="V26" s="11">
        <f>IF(Q26="€/m³",P26,IF(AND(Q26="€/m²",R26&gt;0),P26/(R26/1000),IF(Q26="€/kg",P26*D26,"")))</f>
        <v/>
      </c>
    </row>
    <row r="27">
      <c r="A27" s="5" t="n">
        <v>26</v>
      </c>
      <c r="B27" s="5" t="inlineStr">
        <is>
          <t>B - Isolanti</t>
        </is>
      </c>
      <c r="C27" s="5" t="inlineStr">
        <is>
          <t>Pann. lana di legno mineralizzati</t>
        </is>
      </c>
      <c r="D27" s="6" t="n">
        <v>400</v>
      </c>
      <c r="E27" s="7" t="n">
        <v>0.093</v>
      </c>
      <c r="F27" s="8" t="n">
        <v>0.93</v>
      </c>
      <c r="G27" s="8" t="n">
        <v>0.83</v>
      </c>
      <c r="H27" s="8" t="n">
        <v>8.27</v>
      </c>
      <c r="I27" s="6" t="n">
        <v>1500</v>
      </c>
      <c r="O27" s="3" t="inlineStr">
        <is>
          <t>Termici: numeri portati dal PDF archiviato in @ Oldies/proprieta_termiche_materiali.pdf (21 ottobre 2026). Da usare è questo file. Il calore specifico non era stampato: è ricavato dallo sfasamento a 10 cm.</t>
        </is>
      </c>
      <c r="P27" s="9" t="n">
        <v>33.4</v>
      </c>
      <c r="Q27" t="inlineStr">
        <is>
          <t>€/m²</t>
        </is>
      </c>
      <c r="R27" t="n">
        <v>50</v>
      </c>
      <c r="S27" t="inlineStr">
        <is>
          <t>ottobre 2026</t>
        </is>
      </c>
      <c r="T27" s="10" t="inlineStr">
        <is>
          <t>Prezzario Liguria 2026, PR.A17.C05.040</t>
        </is>
      </c>
      <c r="U27" s="3" t="inlineStr">
        <is>
          <t>Fibra di legno mineralizzata, spessore 5 cm. IVA esclusa. Franco cantiere, senza posa. Nel prezzo del prezzario ci sono anche il 15% di spese generali e il 10% di utile. Listino aggiornato l'11 febbraio 2026, ancora in vigore a ottobre.</t>
        </is>
      </c>
      <c r="V27" s="11">
        <f>IF(Q27="€/m³",P27,IF(AND(Q27="€/m²",R27&gt;0),P27/(R27/1000),IF(Q27="€/kg",P27*D27,"")))</f>
        <v/>
      </c>
    </row>
    <row r="28">
      <c r="A28" s="5" t="n">
        <v>27</v>
      </c>
      <c r="B28" s="5" t="inlineStr">
        <is>
          <t>B - Isolanti</t>
        </is>
      </c>
      <c r="C28" s="5" t="inlineStr">
        <is>
          <t>Pann. di calcio-silicato</t>
        </is>
      </c>
      <c r="D28" s="6" t="n">
        <v>250</v>
      </c>
      <c r="E28" s="7" t="n">
        <v>0.06</v>
      </c>
      <c r="F28" s="8" t="n">
        <v>0.6</v>
      </c>
      <c r="G28" s="8" t="n">
        <v>0.66</v>
      </c>
      <c r="H28" s="8" t="n">
        <v>6.65</v>
      </c>
      <c r="I28" s="6" t="n">
        <v>1000</v>
      </c>
      <c r="O28" s="3" t="inlineStr">
        <is>
          <t>Termici: numeri portati dal PDF archiviato in @ Oldies/proprieta_termiche_materiali.pdf (21 ottobre 2026). Da usare è questo file. Il calore specifico non era stampato: è ricavato dallo sfasamento a 10 cm.</t>
        </is>
      </c>
      <c r="P28" s="9" t="n">
        <v>34.9</v>
      </c>
      <c r="Q28" t="inlineStr">
        <is>
          <t>€/m²</t>
        </is>
      </c>
      <c r="R28" t="n">
        <v>100</v>
      </c>
      <c r="S28" t="inlineStr">
        <is>
          <t>ottobre 2026</t>
        </is>
      </c>
      <c r="T28" s="10" t="inlineStr">
        <is>
          <t>Prezzario Liguria 2026, PR.A17.D01.010</t>
        </is>
      </c>
      <c r="U28" s="3" t="inlineStr">
        <is>
          <t>Il listino è 3,49 euro al m² per ogni centimetro. Qui è riportato a 10 cm, lo spessore della colonna termica. IVA esclusa. Franco cantiere, senza posa. Nel prezzo del prezzario ci sono anche il 15% di spese generali e il 10% di utile. Listino aggiornato l'11 febbraio 2026, ancora in vigore a ottobre.</t>
        </is>
      </c>
      <c r="V28" s="11">
        <f>IF(Q28="€/m³",P28,IF(AND(Q28="€/m²",R28&gt;0),P28/(R28/1000),IF(Q28="€/kg",P28*D28,"")))</f>
        <v/>
      </c>
    </row>
    <row r="29">
      <c r="A29" s="5" t="n">
        <v>28</v>
      </c>
      <c r="B29" s="5" t="inlineStr">
        <is>
          <t>B - Isolanti</t>
        </is>
      </c>
      <c r="C29" s="5" t="inlineStr">
        <is>
          <t>Fibra di cocco</t>
        </is>
      </c>
      <c r="D29" s="6" t="n">
        <v>70</v>
      </c>
      <c r="E29" s="7" t="n">
        <v>0.045</v>
      </c>
      <c r="F29" s="8" t="n">
        <v>0.45</v>
      </c>
      <c r="G29" s="8" t="n">
        <v>0.51</v>
      </c>
      <c r="H29" s="8" t="n">
        <v>5.14</v>
      </c>
      <c r="I29" s="6" t="n">
        <v>1600</v>
      </c>
      <c r="O29" s="3" t="inlineStr">
        <is>
          <t>Termici: numeri portati dal PDF archiviato in @ Oldies/proprieta_termiche_materiali.pdf (21 ottobre 2026). Da usare è questo file. Il calore specifico non era stampato: è ricavato dallo sfasamento a 10 cm.</t>
        </is>
      </c>
      <c r="U29" s="3" t="inlineStr">
        <is>
          <t>Nel prezzario Liguria 2026 non c'è una voce del solo materiale, senza la posa. La cella del prezzo resta vuota.</t>
        </is>
      </c>
      <c r="V29" s="11">
        <f>IF(Q29="€/m³",P29,IF(AND(Q29="€/m²",R29&gt;0),P29/(R29/1000),IF(Q29="€/kg",P29*D29,"")))</f>
        <v/>
      </c>
    </row>
    <row r="30">
      <c r="A30" s="5" t="n">
        <v>29</v>
      </c>
      <c r="B30" s="5" t="inlineStr">
        <is>
          <t>B - Isolanti</t>
        </is>
      </c>
      <c r="C30" s="5" t="inlineStr">
        <is>
          <t>Granuli di sughero</t>
        </is>
      </c>
      <c r="D30" s="6" t="n">
        <v>100</v>
      </c>
      <c r="E30" s="7" t="n">
        <v>0.05</v>
      </c>
      <c r="F30" s="8" t="n">
        <v>0.5</v>
      </c>
      <c r="G30" s="8" t="n">
        <v>0.58</v>
      </c>
      <c r="H30" s="8" t="n">
        <v>5.83</v>
      </c>
      <c r="I30" s="6" t="n">
        <v>1600</v>
      </c>
      <c r="O30" s="3" t="inlineStr">
        <is>
          <t>Termici: numeri portati dal PDF archiviato in @ Oldies/proprieta_termiche_materiali.pdf (21 ottobre 2026). Da usare è questo file. Il calore specifico non era stampato: è ricavato dallo sfasamento a 10 cm.</t>
        </is>
      </c>
      <c r="U30" s="3" t="inlineStr">
        <is>
          <t>Nel prezzario Liguria 2026 non c'è una voce del solo materiale, senza la posa. La cella del prezzo resta vuota.</t>
        </is>
      </c>
      <c r="V30" s="11">
        <f>IF(Q30="€/m³",P30,IF(AND(Q30="€/m²",R30&gt;0),P30/(R30/1000),IF(Q30="€/kg",P30*D30,"")))</f>
        <v/>
      </c>
    </row>
    <row r="31">
      <c r="A31" s="5" t="n">
        <v>30</v>
      </c>
      <c r="B31" s="5" t="inlineStr">
        <is>
          <t>B - Isolanti</t>
        </is>
      </c>
      <c r="C31" s="5" t="inlineStr">
        <is>
          <t>Pann. sughero espanso</t>
        </is>
      </c>
      <c r="D31" s="6" t="n">
        <v>110</v>
      </c>
      <c r="E31" s="7" t="n">
        <v>0.045</v>
      </c>
      <c r="F31" s="8" t="n">
        <v>0.45</v>
      </c>
      <c r="G31" s="8" t="n">
        <v>0.64</v>
      </c>
      <c r="H31" s="8" t="n">
        <v>6.44</v>
      </c>
      <c r="I31" s="6" t="n">
        <v>1600</v>
      </c>
      <c r="O31" s="3" t="inlineStr">
        <is>
          <t>Termici: numeri portati dal PDF archiviato in @ Oldies/proprieta_termiche_materiali.pdf (21 ottobre 2026). Da usare è questo file. Il calore specifico non era stampato: è ricavato dallo sfasamento a 10 cm.</t>
        </is>
      </c>
      <c r="P31" s="9" t="n">
        <v>43</v>
      </c>
      <c r="Q31" t="inlineStr">
        <is>
          <t>€/m²</t>
        </is>
      </c>
      <c r="R31" t="n">
        <v>100</v>
      </c>
      <c r="S31" t="inlineStr">
        <is>
          <t>ottobre 2026</t>
        </is>
      </c>
      <c r="T31" s="16" t="inlineStr">
        <is>
          <t>Guida ristrutturalo 2026, sughero espanso 10 cm</t>
        </is>
      </c>
      <c r="U31" s="3" t="inlineStr">
        <is>
          <t>Non è un listino di un negozio. La guida dà 34-52 euro al m² per il sughero espanso da 10 cm, solo materiale, IVA inclusa: in cella c'è il centro della forbice, 43. Un negozio (sughero24) ha il prezzo vero solo per lo spessore di 10 mm: 76 euro al m² al pezzo singolo e 18,34 a 120 pezzi, IVA inclusa. Non ho riportato i 10 mm a 10 cm, perché il conto non sarebbe lineare. Un solo controllo, senza posa.</t>
        </is>
      </c>
      <c r="V31" s="11">
        <f>IF(Q31="€/m³",P31,IF(AND(Q31="€/m²",R31&gt;0),P31/(R31/1000),IF(Q31="€/kg",P31*D31,"")))</f>
        <v/>
      </c>
    </row>
    <row r="32">
      <c r="A32" s="5" t="n">
        <v>31</v>
      </c>
      <c r="B32" s="5" t="inlineStr">
        <is>
          <t>B - Isolanti</t>
        </is>
      </c>
      <c r="C32" s="5" t="inlineStr">
        <is>
          <t>Pann. fibra minerale</t>
        </is>
      </c>
      <c r="D32" s="6" t="n">
        <v>115</v>
      </c>
      <c r="E32" s="7" t="n">
        <v>0.045</v>
      </c>
      <c r="F32" s="8" t="n">
        <v>0.45</v>
      </c>
      <c r="G32" s="8" t="n">
        <v>0.53</v>
      </c>
      <c r="H32" s="8" t="n">
        <v>5.28</v>
      </c>
      <c r="I32" s="6" t="n">
        <v>1030</v>
      </c>
      <c r="O32" s="3" t="inlineStr">
        <is>
          <t>Termici: numeri portati dal PDF archiviato in @ Oldies/proprieta_termiche_materiali.pdf (21 ottobre 2026). Da usare è questo file. Il calore specifico non era stampato: è ricavato dallo sfasamento a 10 cm.</t>
        </is>
      </c>
      <c r="P32" s="9" t="n">
        <v>6.6</v>
      </c>
      <c r="Q32" t="inlineStr">
        <is>
          <t>€/m²</t>
        </is>
      </c>
      <c r="R32" t="n">
        <v>100</v>
      </c>
      <c r="S32" t="inlineStr">
        <is>
          <t>ottobre 2026</t>
        </is>
      </c>
      <c r="T32" s="10" t="inlineStr">
        <is>
          <t>Prezzario Liguria 2026, PR.A17.Y01.010</t>
        </is>
      </c>
      <c r="U32" s="3" t="inlineStr">
        <is>
          <t>Non c'è una voce generica. Ho usato la lana di roccia da 60 kg/m³: 0,66 euro al m² per cm, riportata a 10 cm. IVA esclusa. Franco cantiere, senza posa. Nel prezzo del prezzario ci sono anche il 15% di spese generali e il 10% di utile. Listino aggiornato l'11 febbraio 2026, ancora in vigore a ottobre.</t>
        </is>
      </c>
      <c r="V32" s="11">
        <f>IF(Q32="€/m³",P32,IF(AND(Q32="€/m²",R32&gt;0),P32/(R32/1000),IF(Q32="€/kg",P32*D32,"")))</f>
        <v/>
      </c>
    </row>
    <row r="33">
      <c r="A33" s="5" t="n">
        <v>32</v>
      </c>
      <c r="B33" s="5" t="inlineStr">
        <is>
          <t>B - Isolanti</t>
        </is>
      </c>
      <c r="C33" s="5" t="inlineStr">
        <is>
          <t>Perlite espansa</t>
        </is>
      </c>
      <c r="D33" s="6" t="n">
        <v>90</v>
      </c>
      <c r="E33" s="7" t="n">
        <v>0.05</v>
      </c>
      <c r="F33" s="8" t="n">
        <v>0.5</v>
      </c>
      <c r="G33" s="8" t="n">
        <v>0.44</v>
      </c>
      <c r="H33" s="8" t="n">
        <v>4.37</v>
      </c>
      <c r="I33" s="6" t="n">
        <v>1000</v>
      </c>
      <c r="O33" s="3" t="inlineStr">
        <is>
          <t>Termici: numeri portati dal PDF archiviato in @ Oldies/proprieta_termiche_materiali.pdf (21 ottobre 2026). Da usare è questo file. Il calore specifico non era stampato: è ricavato dallo sfasamento a 10 cm.</t>
        </is>
      </c>
      <c r="U33" s="3" t="inlineStr">
        <is>
          <t>Nel prezzario Liguria 2026 non c'è una voce del solo materiale, senza la posa. La cella del prezzo resta vuota.</t>
        </is>
      </c>
      <c r="V33" s="11">
        <f>IF(Q33="€/m³",P33,IF(AND(Q33="€/m²",R33&gt;0),P33/(R33/1000),IF(Q33="€/kg",P33*D33,"")))</f>
        <v/>
      </c>
    </row>
    <row r="34">
      <c r="A34" s="5" t="n">
        <v>33</v>
      </c>
      <c r="B34" s="5" t="inlineStr">
        <is>
          <t>B - Isolanti</t>
        </is>
      </c>
      <c r="C34" s="5" t="inlineStr">
        <is>
          <t>Poliuretano</t>
        </is>
      </c>
      <c r="D34" s="6" t="n">
        <v>30</v>
      </c>
      <c r="E34" s="7" t="n">
        <v>0.03</v>
      </c>
      <c r="F34" s="8" t="n">
        <v>0.3</v>
      </c>
      <c r="G34" s="8" t="n">
        <v>0.39</v>
      </c>
      <c r="H34" s="8" t="n">
        <v>3.85</v>
      </c>
      <c r="I34" s="6" t="n">
        <v>1400</v>
      </c>
      <c r="O34" s="3" t="inlineStr">
        <is>
          <t>Termici: numeri portati dal PDF archiviato in @ Oldies/proprieta_termiche_materiali.pdf (21 ottobre 2026). Da usare è questo file. Il calore specifico non era stampato: è ricavato dallo sfasamento a 10 cm.</t>
        </is>
      </c>
      <c r="P34" s="9" t="n">
        <v>30.37</v>
      </c>
      <c r="Q34" t="inlineStr">
        <is>
          <t>€/m²</t>
        </is>
      </c>
      <c r="R34" t="n">
        <v>100</v>
      </c>
      <c r="S34" t="inlineStr">
        <is>
          <t>ottobre 2026</t>
        </is>
      </c>
      <c r="T34" s="10" t="inlineStr">
        <is>
          <t>Prezzario Liguria 2026, PR.A17.V01.030</t>
        </is>
      </c>
      <c r="U34" s="3" t="inlineStr">
        <is>
          <t>Pannello di poliuretano da cappotto, densità circa 35 kg/m³, spessore 10 cm. IVA esclusa. Franco cantiere, senza posa. Nel prezzo del prezzario ci sono anche il 15% di spese generali e il 10% di utile. Listino aggiornato l'11 febbraio 2026, ancora in vigore a ottobre.</t>
        </is>
      </c>
      <c r="V34" s="11">
        <f>IF(Q34="€/m³",P34,IF(AND(Q34="€/m²",R34&gt;0),P34/(R34/1000),IF(Q34="€/kg",P34*D34,"")))</f>
        <v/>
      </c>
    </row>
    <row r="35">
      <c r="A35" s="5" t="n">
        <v>34</v>
      </c>
      <c r="B35" s="5" t="inlineStr">
        <is>
          <t>B - Isolanti</t>
        </is>
      </c>
      <c r="C35" s="5" t="inlineStr">
        <is>
          <t>Lana di pecora</t>
        </is>
      </c>
      <c r="D35" s="6" t="n">
        <v>25</v>
      </c>
      <c r="E35" s="7" t="n">
        <v>0.04</v>
      </c>
      <c r="F35" s="8" t="n">
        <v>0.4</v>
      </c>
      <c r="G35" s="8" t="n">
        <v>0.34</v>
      </c>
      <c r="H35" s="8" t="n">
        <v>3.38</v>
      </c>
      <c r="I35" s="6" t="n">
        <v>1720</v>
      </c>
      <c r="O35" s="3" t="inlineStr">
        <is>
          <t>Termici: numeri portati dal PDF archiviato in @ Oldies/proprieta_termiche_materiali.pdf (21 ottobre 2026). Da usare è questo file. Il calore specifico non era stampato: è ricavato dallo sfasamento a 10 cm.</t>
        </is>
      </c>
      <c r="U35" s="3" t="inlineStr">
        <is>
          <t>Nel prezzario Liguria 2026 non c'è una voce del solo materiale, senza la posa. La cella del prezzo resta vuota.</t>
        </is>
      </c>
      <c r="V35" s="11">
        <f>IF(Q35="€/m³",P35,IF(AND(Q35="€/m²",R35&gt;0),P35/(R35/1000),IF(Q35="€/kg",P35*D35,"")))</f>
        <v/>
      </c>
    </row>
    <row r="36">
      <c r="A36" s="5" t="n">
        <v>35</v>
      </c>
      <c r="B36" s="5" t="inlineStr">
        <is>
          <t>B - Isolanti</t>
        </is>
      </c>
      <c r="C36" s="5" t="inlineStr">
        <is>
          <t>Vetro cellulare (120)</t>
        </is>
      </c>
      <c r="D36" s="6" t="n">
        <v>120</v>
      </c>
      <c r="E36" s="7" t="n">
        <v>0.041</v>
      </c>
      <c r="F36" s="8" t="n">
        <v>0.41</v>
      </c>
      <c r="G36" s="8" t="n">
        <v>0.5600000000000001</v>
      </c>
      <c r="H36" s="8" t="n">
        <v>5.57</v>
      </c>
      <c r="I36" s="6" t="n">
        <v>1000</v>
      </c>
      <c r="O36" s="3" t="inlineStr">
        <is>
          <t>Termici: numeri portati dal PDF archiviato in @ Oldies/proprieta_termiche_materiali.pdf (21 ottobre 2026). Da usare è questo file. Il calore specifico non era stampato: è ricavato dallo sfasamento a 10 cm.</t>
        </is>
      </c>
      <c r="P36" s="9" t="n">
        <v>74.59999999999999</v>
      </c>
      <c r="Q36" t="inlineStr">
        <is>
          <t>€/m²</t>
        </is>
      </c>
      <c r="R36" t="n">
        <v>100</v>
      </c>
      <c r="S36" t="inlineStr">
        <is>
          <t>ottobre 2026</t>
        </is>
      </c>
      <c r="T36" s="10" t="inlineStr">
        <is>
          <t>Prezzario Liguria 2026, PR.A17.T04.010</t>
        </is>
      </c>
      <c r="U36" s="3" t="inlineStr">
        <is>
          <t>Il listino ha una sola voce, densità minima 100 kg/m³, 7,46 euro al m² per cm, per pareti. Qui è riportata a 10 cm. Vale anche per la riga da 160. IVA esclusa. Franco cantiere, senza posa. Nel prezzo del prezzario ci sono anche il 15% di spese generali e il 10% di utile. Listino aggiornato l'11 febbraio 2026, ancora in vigore a ottobre.</t>
        </is>
      </c>
      <c r="V36" s="11">
        <f>IF(Q36="€/m³",P36,IF(AND(Q36="€/m²",R36&gt;0),P36/(R36/1000),IF(Q36="€/kg",P36*D36,"")))</f>
        <v/>
      </c>
    </row>
    <row r="37">
      <c r="A37" s="5" t="n">
        <v>36</v>
      </c>
      <c r="B37" s="5" t="inlineStr">
        <is>
          <t>B - Isolanti</t>
        </is>
      </c>
      <c r="C37" s="5" t="inlineStr">
        <is>
          <t>Vetro cellulare (160)</t>
        </is>
      </c>
      <c r="D37" s="6" t="n">
        <v>160</v>
      </c>
      <c r="E37" s="7" t="n">
        <v>0.05</v>
      </c>
      <c r="F37" s="8" t="n">
        <v>0.5</v>
      </c>
      <c r="G37" s="8" t="n">
        <v>0.58</v>
      </c>
      <c r="H37" s="8" t="n">
        <v>5.83</v>
      </c>
      <c r="I37" s="6" t="n">
        <v>1000</v>
      </c>
      <c r="O37" s="3" t="inlineStr">
        <is>
          <t>Termici: numeri portati dal PDF archiviato in @ Oldies/proprieta_termiche_materiali.pdf (21 ottobre 2026). Da usare è questo file. Il calore specifico non era stampato: è ricavato dallo sfasamento a 10 cm.</t>
        </is>
      </c>
      <c r="P37" s="9" t="n">
        <v>74.59999999999999</v>
      </c>
      <c r="Q37" t="inlineStr">
        <is>
          <t>€/m²</t>
        </is>
      </c>
      <c r="R37" t="n">
        <v>100</v>
      </c>
      <c r="S37" t="inlineStr">
        <is>
          <t>ottobre 2026</t>
        </is>
      </c>
      <c r="T37" s="10" t="inlineStr">
        <is>
          <t>Prezzario Liguria 2026, PR.A17.T04.010</t>
        </is>
      </c>
      <c r="U37" s="3" t="inlineStr">
        <is>
          <t>Stessa voce della riga da 120: il listino non distingue le due densità. 7,46 euro al m² per cm, riportato a 10 cm. IVA esclusa. Franco cantiere, senza posa. Nel prezzo del prezzario ci sono anche il 15% di spese generali e il 10% di utile. Listino aggiornato l'11 febbraio 2026, ancora in vigore a ottobre.</t>
        </is>
      </c>
      <c r="V37" s="11">
        <f>IF(Q37="€/m³",P37,IF(AND(Q37="€/m²",R37&gt;0),P37/(R37/1000),IF(Q37="€/kg",P37*D37,"")))</f>
        <v/>
      </c>
    </row>
    <row r="38">
      <c r="A38" s="5" t="n">
        <v>37</v>
      </c>
      <c r="B38" s="5" t="inlineStr">
        <is>
          <t>B - Isolanti</t>
        </is>
      </c>
      <c r="C38" s="5" t="inlineStr">
        <is>
          <t>Arelle</t>
        </is>
      </c>
      <c r="D38" s="6" t="n">
        <v>190</v>
      </c>
      <c r="E38" s="7" t="n">
        <v>0.055</v>
      </c>
      <c r="F38" s="8" t="n">
        <v>0.55</v>
      </c>
      <c r="G38" s="8" t="n">
        <v>0.8100000000000001</v>
      </c>
      <c r="H38" s="8" t="n">
        <v>8.119999999999999</v>
      </c>
      <c r="I38" s="6" t="n">
        <v>1800</v>
      </c>
      <c r="O38" s="3" t="inlineStr">
        <is>
          <t>Termici: numeri portati dal PDF archiviato in @ Oldies/proprieta_termiche_materiali.pdf (21 ottobre 2026). Da usare è questo file. Il calore specifico non era stampato: è ricavato dallo sfasamento a 10 cm.</t>
        </is>
      </c>
      <c r="P38" s="9" t="n">
        <v>6.33</v>
      </c>
      <c r="Q38" t="inlineStr">
        <is>
          <t>€/m²</t>
        </is>
      </c>
      <c r="S38" t="inlineStr">
        <is>
          <t>ottobre 2026</t>
        </is>
      </c>
      <c r="T38" s="10" t="inlineStr">
        <is>
          <t>Prezzario Liguria 2026, PR.A22.A15.010</t>
        </is>
      </c>
      <c r="U38" s="3" t="inlineStr">
        <is>
          <t>Nel listino non ci sono le arelle. Ho messo il canniccio in rotoli, che è il prodotto più vicino. IVA esclusa. Franco cantiere, senza posa. Nel prezzo del prezzario ci sono anche il 15% di spese generali e il 10% di utile. Listino aggiornato l'11 febbraio 2026, ancora in vigore a ottobre.</t>
        </is>
      </c>
      <c r="V38" s="11">
        <f>IF(Q38="€/m³",P38,IF(AND(Q38="€/m²",R38&gt;0),P38/(R38/1000),IF(Q38="€/kg",P38*D38,"")))</f>
        <v/>
      </c>
    </row>
    <row r="39">
      <c r="A39" s="5" t="n">
        <v>38</v>
      </c>
      <c r="B39" s="5" t="inlineStr">
        <is>
          <t>B - Isolanti</t>
        </is>
      </c>
      <c r="C39" s="5" t="inlineStr">
        <is>
          <t>Lana di roccia</t>
        </is>
      </c>
      <c r="D39" s="6" t="n">
        <v>30</v>
      </c>
      <c r="E39" s="7" t="n">
        <v>0.04</v>
      </c>
      <c r="F39" s="8" t="n">
        <v>0.4</v>
      </c>
      <c r="G39" s="8" t="n">
        <v>0.29</v>
      </c>
      <c r="H39" s="8" t="n">
        <v>2.86</v>
      </c>
      <c r="I39" s="6" t="n">
        <v>1030</v>
      </c>
      <c r="O39" s="3" t="inlineStr">
        <is>
          <t>Termici: numeri portati dal PDF archiviato in @ Oldies/proprieta_termiche_materiali.pdf (21 ottobre 2026). Da usare è questo file. Il calore specifico non era stampato: è ricavato dallo sfasamento a 10 cm.</t>
        </is>
      </c>
      <c r="P39" s="9" t="n">
        <v>6.6</v>
      </c>
      <c r="Q39" t="inlineStr">
        <is>
          <t>€/m²</t>
        </is>
      </c>
      <c r="R39" t="n">
        <v>100</v>
      </c>
      <c r="S39" t="inlineStr">
        <is>
          <t>ottobre 2026</t>
        </is>
      </c>
      <c r="T39" s="10" t="inlineStr">
        <is>
          <t>Prezzario Liguria 2026, PR.A17.Y01.010</t>
        </is>
      </c>
      <c r="U39" s="3" t="inlineStr">
        <is>
          <t>Il listino è 0,66 euro al m² per ogni centimetro, densità 60 kg/m³, per spessori da 4 a 10 cm. Qui è riportato a 10 cm: 6,60 euro al m². La riga termica ha densità 30. IVA esclusa. Franco cantiere, senza posa. Nel prezzo del prezzario ci sono anche il 15% di spese generali e il 10% di utile. Listino aggiornato l'11 febbraio 2026, ancora in vigore a ottobre.</t>
        </is>
      </c>
      <c r="V39" s="11">
        <f>IF(Q39="€/m³",P39,IF(AND(Q39="€/m²",R39&gt;0),P39/(R39/1000),IF(Q39="€/kg",P39*D39,"")))</f>
        <v/>
      </c>
    </row>
    <row r="40">
      <c r="A40" s="5" t="n">
        <v>39</v>
      </c>
      <c r="B40" s="5" t="inlineStr">
        <is>
          <t>B - Isolanti</t>
        </is>
      </c>
      <c r="C40" s="5" t="inlineStr">
        <is>
          <t>Paglia</t>
        </is>
      </c>
      <c r="D40" s="6" t="n">
        <v>340</v>
      </c>
      <c r="E40" s="7" t="n">
        <v>0.09</v>
      </c>
      <c r="F40" s="8" t="n">
        <v>0.9</v>
      </c>
      <c r="G40" s="8" t="n">
        <v>0.85</v>
      </c>
      <c r="H40" s="8" t="n">
        <v>8.49</v>
      </c>
      <c r="I40" s="6" t="n">
        <v>1800</v>
      </c>
      <c r="O40" s="3" t="inlineStr">
        <is>
          <t>Termici: numeri portati dal PDF archiviato in @ Oldies/proprieta_termiche_materiali.pdf (21 ottobre 2026). Da usare è questo file. Il calore specifico non era stampato: è ricavato dallo sfasamento a 10 cm.</t>
        </is>
      </c>
      <c r="U40" s="3" t="inlineStr">
        <is>
          <t>Nel prezzario Liguria 2026 non c'è una voce del solo materiale, senza la posa. La cella del prezzo resta vuota.</t>
        </is>
      </c>
      <c r="V40" s="11">
        <f>IF(Q40="€/m³",P40,IF(AND(Q40="€/m²",R40&gt;0),P40/(R40/1000),IF(Q40="€/kg",P40*D40,"")))</f>
        <v/>
      </c>
    </row>
    <row r="41">
      <c r="A41" s="5" t="n">
        <v>40</v>
      </c>
      <c r="B41" s="5" t="inlineStr">
        <is>
          <t>B - Isolanti</t>
        </is>
      </c>
      <c r="C41" s="5" t="inlineStr">
        <is>
          <t>Fiocchi di cellulosa</t>
        </is>
      </c>
      <c r="D41" s="6" t="n">
        <v>50</v>
      </c>
      <c r="E41" s="7" t="n">
        <v>0.04</v>
      </c>
      <c r="F41" s="8" t="n">
        <v>0.4</v>
      </c>
      <c r="G41" s="8" t="n">
        <v>0.52</v>
      </c>
      <c r="H41" s="8" t="n">
        <v>5.15</v>
      </c>
      <c r="I41" s="6" t="n">
        <v>2000</v>
      </c>
      <c r="O41" s="3" t="inlineStr">
        <is>
          <t>Termici: numeri portati dal PDF archiviato in @ Oldies/proprieta_termiche_materiali.pdf (21 ottobre 2026). Da usare è questo file. Il calore specifico non era stampato: è ricavato dallo sfasamento a 10 cm.</t>
        </is>
      </c>
      <c r="U41" s="3" t="inlineStr">
        <is>
          <t>Nel prezzario Liguria 2026 non c'è una voce del solo materiale, senza la posa. La cella del prezzo resta vuota.</t>
        </is>
      </c>
      <c r="V41" s="11">
        <f>IF(Q41="€/m³",P41,IF(AND(Q41="€/m²",R41&gt;0),P41/(R41/1000),IF(Q41="€/kg",P41*D41,"")))</f>
        <v/>
      </c>
    </row>
    <row r="42">
      <c r="A42" s="5" t="n">
        <v>41</v>
      </c>
      <c r="B42" s="5" t="inlineStr">
        <is>
          <t>B - Isolanti</t>
        </is>
      </c>
      <c r="C42" s="5" t="inlineStr">
        <is>
          <t>Pannelli di cellulosa</t>
        </is>
      </c>
      <c r="D42" s="6" t="n">
        <v>85</v>
      </c>
      <c r="E42" s="7" t="n">
        <v>0.04</v>
      </c>
      <c r="F42" s="8" t="n">
        <v>0.4</v>
      </c>
      <c r="G42" s="8" t="n">
        <v>0.67</v>
      </c>
      <c r="H42" s="8" t="n">
        <v>6.72</v>
      </c>
      <c r="I42" s="6" t="n">
        <v>2000</v>
      </c>
      <c r="O42" s="3" t="inlineStr">
        <is>
          <t>Termici: numeri portati dal PDF archiviato in @ Oldies/proprieta_termiche_materiali.pdf (21 ottobre 2026). Da usare è questo file. Il calore specifico non era stampato: è ricavato dallo sfasamento a 10 cm.</t>
        </is>
      </c>
      <c r="U42" s="3" t="inlineStr">
        <is>
          <t>Nel prezzario Liguria 2026 non c'è una voce del solo materiale, senza la posa. La cella del prezzo resta vuota.</t>
        </is>
      </c>
      <c r="V42" s="11">
        <f>IF(Q42="€/m³",P42,IF(AND(Q42="€/m²",R42&gt;0),P42/(R42/1000),IF(Q42="€/kg",P42*D42,"")))</f>
        <v/>
      </c>
    </row>
    <row r="43">
      <c r="A43" s="5" t="n">
        <v>42</v>
      </c>
      <c r="B43" s="5" t="inlineStr">
        <is>
          <t>C - Materie prime</t>
        </is>
      </c>
      <c r="C43" s="5" t="inlineStr">
        <is>
          <t>Acciaio</t>
        </is>
      </c>
      <c r="D43" s="6" t="n">
        <v>7800</v>
      </c>
      <c r="E43" s="7" t="n">
        <v>60</v>
      </c>
      <c r="F43" s="8" t="n">
        <v>600</v>
      </c>
      <c r="G43" s="8" t="n">
        <v>0.08</v>
      </c>
      <c r="H43" s="8" t="n">
        <v>0.8</v>
      </c>
      <c r="I43" s="6" t="n">
        <v>460</v>
      </c>
      <c r="O43" s="3" t="inlineStr">
        <is>
          <t>Termici: numeri portati dal PDF archiviato in @ Oldies/proprieta_termiche_materiali.pdf (21 ottobre 2026). Da usare è questo file. Il calore specifico non era stampato: è ricavato dallo sfasamento a 10 cm.</t>
        </is>
      </c>
      <c r="P43" s="9" t="n">
        <v>1.13</v>
      </c>
      <c r="Q43" t="inlineStr">
        <is>
          <t>€/kg</t>
        </is>
      </c>
      <c r="S43" t="inlineStr">
        <is>
          <t>ottobre 2026</t>
        </is>
      </c>
      <c r="T43" s="10" t="inlineStr">
        <is>
          <t>Prezzario Liguria 2026, PR.A05.A10.011</t>
        </is>
      </c>
      <c r="U43" s="3" t="inlineStr">
        <is>
          <t>Tondo nervato B450C per cemento armato, non una putrella lavorata. IVA esclusa. Franco cantiere, senza posa. Nel prezzo del prezzario ci sono anche il 15% di spese generali e il 10% di utile. Listino aggiornato l'11 febbraio 2026, ancora in vigore a ottobre.</t>
        </is>
      </c>
      <c r="V43" s="11">
        <f>IF(Q43="€/m³",P43,IF(AND(Q43="€/m²",R43&gt;0),P43/(R43/1000),IF(Q43="€/kg",P43*D43,"")))</f>
        <v/>
      </c>
    </row>
    <row r="44">
      <c r="A44" s="5" t="n">
        <v>43</v>
      </c>
      <c r="B44" s="5" t="inlineStr">
        <is>
          <t>C - Materie prime</t>
        </is>
      </c>
      <c r="C44" s="5" t="inlineStr">
        <is>
          <t>Rame</t>
        </is>
      </c>
      <c r="D44" s="6" t="n">
        <v>8900</v>
      </c>
      <c r="E44" s="7" t="n">
        <v>380</v>
      </c>
      <c r="F44" s="8" t="n">
        <v>3800</v>
      </c>
      <c r="G44" s="8" t="n">
        <v>0.03</v>
      </c>
      <c r="H44" s="8" t="n">
        <v>0.31</v>
      </c>
      <c r="I44" s="6" t="n">
        <v>390</v>
      </c>
      <c r="O44" s="3" t="inlineStr">
        <is>
          <t>Termici: numeri portati dal PDF archiviato in @ Oldies/proprieta_termiche_materiali.pdf (21 ottobre 2026). Da usare è questo file. Il calore specifico non era stampato: è ricavato dallo sfasamento a 10 cm.</t>
        </is>
      </c>
      <c r="P44" s="9" t="n">
        <v>13.08</v>
      </c>
      <c r="Q44" t="inlineStr">
        <is>
          <t>€/kg</t>
        </is>
      </c>
      <c r="S44" t="inlineStr">
        <is>
          <t>ottobre 2026</t>
        </is>
      </c>
      <c r="T44" s="10" t="inlineStr">
        <is>
          <t>Prezzario Liguria 2026, PR.A16.A80.010</t>
        </is>
      </c>
      <c r="U44" s="3" t="inlineStr">
        <is>
          <t>Lamiera di rame. I tubi sono un'altra voce, al metro. IVA esclusa. Franco cantiere, senza posa. Nel prezzo del prezzario ci sono anche il 15% di spese generali e il 10% di utile. Listino aggiornato l'11 febbraio 2026, ancora in vigore a ottobre.</t>
        </is>
      </c>
      <c r="V44" s="11">
        <f>IF(Q44="€/m³",P44,IF(AND(Q44="€/m²",R44&gt;0),P44/(R44/1000),IF(Q44="€/kg",P44*D44,"")))</f>
        <v/>
      </c>
    </row>
    <row r="45">
      <c r="A45" s="5" t="n">
        <v>44</v>
      </c>
      <c r="B45" s="5" t="inlineStr">
        <is>
          <t>C - Materie prime</t>
        </is>
      </c>
      <c r="C45" s="5" t="inlineStr">
        <is>
          <t>Alluminio</t>
        </is>
      </c>
      <c r="D45" s="6" t="n">
        <v>2800</v>
      </c>
      <c r="E45" s="7" t="n">
        <v>200</v>
      </c>
      <c r="F45" s="8" t="n">
        <v>2000</v>
      </c>
      <c r="G45" s="8" t="n">
        <v>0.04</v>
      </c>
      <c r="H45" s="8" t="n">
        <v>0.37</v>
      </c>
      <c r="I45" s="6" t="n">
        <v>920</v>
      </c>
      <c r="O45" s="3" t="inlineStr">
        <is>
          <t>Termici: numeri portati dal PDF archiviato in @ Oldies/proprieta_termiche_materiali.pdf (21 ottobre 2026). Da usare è questo file. Il calore specifico non era stampato: è ricavato dallo sfasamento a 10 cm.</t>
        </is>
      </c>
      <c r="P45" s="9" t="n">
        <v>37.95</v>
      </c>
      <c r="Q45" t="inlineStr">
        <is>
          <t>€/m²</t>
        </is>
      </c>
      <c r="R45" t="n">
        <v>1.2</v>
      </c>
      <c r="S45" t="inlineStr">
        <is>
          <t>ottobre 2026</t>
        </is>
      </c>
      <c r="T45" s="10" t="inlineStr">
        <is>
          <t>Prezzario Liguria 2026, PR.A05.F10.010</t>
        </is>
      </c>
      <c r="U45" s="3" t="inlineStr">
        <is>
          <t>Lamiera spessore 12/10 mm, verniciata o anodizzata. IVA esclusa. Franco cantiere, senza posa. Nel prezzo del prezzario ci sono anche il 15% di spese generali e il 10% di utile. Listino aggiornato l'11 febbraio 2026, ancora in vigore a ottobre.</t>
        </is>
      </c>
      <c r="V45" s="11">
        <f>IF(Q45="€/m³",P45,IF(AND(Q45="€/m²",R45&gt;0),P45/(R45/1000),IF(Q45="€/kg",P45*D45,"")))</f>
        <v/>
      </c>
    </row>
    <row r="46">
      <c r="A46" s="5" t="n">
        <v>45</v>
      </c>
      <c r="B46" s="5" t="inlineStr">
        <is>
          <t>C - Materie prime</t>
        </is>
      </c>
      <c r="C46" s="5" t="inlineStr">
        <is>
          <t>Vetro</t>
        </is>
      </c>
      <c r="D46" s="6" t="n">
        <v>2500</v>
      </c>
      <c r="E46" s="7" t="n">
        <v>0.8</v>
      </c>
      <c r="F46" s="8" t="n">
        <v>8</v>
      </c>
      <c r="G46" s="8" t="n">
        <v>0.52</v>
      </c>
      <c r="H46" s="8" t="n">
        <v>5.15</v>
      </c>
      <c r="I46" s="6" t="n">
        <v>800</v>
      </c>
      <c r="O46" s="3" t="inlineStr">
        <is>
          <t>Termici: numeri portati dal PDF archiviato in @ Oldies/proprieta_termiche_materiali.pdf (21 ottobre 2026). Da usare è questo file. Il calore specifico non era stampato: è ricavato dallo sfasamento a 10 cm.</t>
        </is>
      </c>
      <c r="P46" s="9" t="n">
        <v>110</v>
      </c>
      <c r="Q46" t="inlineStr">
        <is>
          <t>€/m²</t>
        </is>
      </c>
      <c r="S46" t="inlineStr">
        <is>
          <t>ottobre 2026</t>
        </is>
      </c>
      <c r="T46" s="16" t="inlineStr">
        <is>
          <t>Cifra tipica, vetrocamera della stella</t>
        </is>
      </c>
      <c r="U46" s="3" t="inlineStr">
        <is>
          <t>Il vetro della zome è una vetrocamera fissa, non il float da 4 mm. Il prezzario Liguria, voce PR.A24.A10.010, dava 16,39 euro al m² per quel float, IVA esclusa, senza posa: non è più il prezzo. In cella, 110 euro al m², cifra tipica di sola fornitura: basso emissivo, argon, lastra esterna da 6 mm, lastra interna stratificata 44.2 (due da 4 mm). Vetro fisso, senza anta, senza posa e senza telaio. Sul listino Vetroexpert di Roma la finestra 4+15+4 argon basso emissivo è 59 euro al m²: non è questo vetro, non tiene la neve in copertura. Le voci vicine al pacchetto della stella sono 90 euro (4 mm più uno stratificato da 6/7 mm, argon, basso emissivo) e 127 (due stratificati da 8/9 mm). Il listino non ha una data e non dice se l'IVA è compresa. Stella del preset Philippe: rombo di 80 cm di lato, luce fra i bordi opposti 45 cm, inclinato di 21° sull'orizzontale, la neve ci resta. Neirone è zona neve II. A quota del paese, circa 350 m, il carico al suolo è circa 1,3 kN/m² e sulla falda a 21° circa 1,0. Su 45 cm un vetro ricotto da 4 mm è al limite; il 44.2 interno ci sta, anche verso i 700 m di quota. Lo spessore del prezzo è vuoto apposta: non riportare questi euro al metro cubo del vetro pieno. Per una faccia più grande, luce verso 90 cm–1 m, che tenga ancora la neve, c'è la riga «Vetrocamera da copertura, luci maggiori».</t>
        </is>
      </c>
      <c r="V46" s="11">
        <f>IF(Q46="€/m³",P46,IF(AND(Q46="€/m²",R46&gt;0),P46/(R46/1000),IF(Q46="€/kg",P46*D46,"")))</f>
        <v/>
      </c>
    </row>
    <row r="47">
      <c r="A47" s="5" t="n">
        <v>46</v>
      </c>
      <c r="B47" s="5" t="inlineStr">
        <is>
          <t>C - Materie prime</t>
        </is>
      </c>
      <c r="C47" s="5" t="inlineStr">
        <is>
          <t>Plexiglass</t>
        </is>
      </c>
      <c r="D47" s="6" t="n">
        <v>1180</v>
      </c>
      <c r="E47" s="7" t="n">
        <v>0.19</v>
      </c>
      <c r="F47" s="8" t="n">
        <v>1.9</v>
      </c>
      <c r="G47" s="8" t="n">
        <v>0.98</v>
      </c>
      <c r="H47" s="8" t="n">
        <v>9.81</v>
      </c>
      <c r="I47" s="6" t="n">
        <v>1460</v>
      </c>
      <c r="O47" s="3" t="inlineStr">
        <is>
          <t>Termici: numeri portati dal PDF archiviato in @ Oldies/proprieta_termiche_materiali.pdf (21 ottobre 2026). Da usare è questo file. Il calore specifico non era stampato: è ricavato dallo sfasamento a 10 cm.</t>
        </is>
      </c>
      <c r="U47" s="3" t="inlineStr">
        <is>
          <t>Nel prezzario Liguria 2026 non c'è una voce del solo materiale, senza la posa. La cella del prezzo resta vuota.</t>
        </is>
      </c>
      <c r="V47" s="11">
        <f>IF(Q47="€/m³",P47,IF(AND(Q47="€/m²",R47&gt;0),P47/(R47/1000),IF(Q47="€/kg",P47*D47,"")))</f>
        <v/>
      </c>
    </row>
    <row r="48">
      <c r="A48" s="5" t="n">
        <v>47</v>
      </c>
      <c r="B48" s="5" t="inlineStr">
        <is>
          <t>C - Materie prime</t>
        </is>
      </c>
      <c r="C48" s="5" t="inlineStr">
        <is>
          <t>Guaine di polietilene, bitume</t>
        </is>
      </c>
      <c r="D48" s="6" t="n">
        <v>1700</v>
      </c>
      <c r="E48" s="7" t="n">
        <v>0.26</v>
      </c>
      <c r="F48" s="8" t="n">
        <v>2.6</v>
      </c>
      <c r="G48" s="8" t="n">
        <v>0.83</v>
      </c>
      <c r="H48" s="8" t="n">
        <v>8.33</v>
      </c>
      <c r="I48" s="6" t="n">
        <v>1000</v>
      </c>
      <c r="O48" s="3" t="inlineStr">
        <is>
          <t>Termici: numeri portati dal PDF archiviato in @ Oldies/proprieta_termiche_materiali.pdf (21 ottobre 2026). Da usare è questo file. Il calore specifico non era stampato: è ricavato dallo sfasamento a 10 cm.</t>
        </is>
      </c>
      <c r="P48" s="9" t="n">
        <v>8.99</v>
      </c>
      <c r="Q48" t="inlineStr">
        <is>
          <t>€/m²</t>
        </is>
      </c>
      <c r="S48" t="inlineStr">
        <is>
          <t>ottobre 2026</t>
        </is>
      </c>
      <c r="T48" s="10" t="inlineStr">
        <is>
          <t>Prezzario Liguria 2026, PR.A18.A25.200</t>
        </is>
      </c>
      <c r="U48" s="3" t="inlineStr">
        <is>
          <t>Membrana bituminosa elastomerica, autoprotetta con scaglie di ardesia. Lo spessore non è scritto nella voce. IVA esclusa. Franco cantiere, senza posa. Nel prezzo del prezzario ci sono anche il 15% di spese generali e il 10% di utile. Listino aggiornato l'11 febbraio 2026, ancora in vigore a ottobre. Le tegole bituminose della copertura sono sulla riga «Tegole bituminose (canadesi)». Questa resta la membrana.</t>
        </is>
      </c>
      <c r="V48" s="11">
        <f>IF(Q48="€/m³",P48,IF(AND(Q48="€/m²",R48&gt;0),P48/(R48/1000),IF(Q48="€/kg",P48*D48,"")))</f>
        <v/>
      </c>
    </row>
    <row r="49">
      <c r="A49" s="5" t="n">
        <v>48</v>
      </c>
      <c r="B49" s="5" t="inlineStr">
        <is>
          <t>C - Materie prime</t>
        </is>
      </c>
      <c r="C49" s="5" t="inlineStr">
        <is>
          <t>Acciaio inossidabile</t>
        </is>
      </c>
      <c r="D49" s="6" t="n">
        <v>7700</v>
      </c>
      <c r="E49" s="7" t="n">
        <v>13</v>
      </c>
      <c r="F49" s="8" t="n">
        <v>130</v>
      </c>
      <c r="G49" s="8" t="n">
        <v>0.18</v>
      </c>
      <c r="H49" s="8" t="n">
        <v>1.77</v>
      </c>
      <c r="I49" s="6" t="n">
        <v>500</v>
      </c>
      <c r="O49" s="3" t="inlineStr">
        <is>
          <t>Termici: numeri portati dal PDF archiviato in @ Oldies/proprieta_termiche_materiali.pdf (21 ottobre 2026). Da usare è questo file. Il calore specifico non era stampato: è ricavato dallo sfasamento a 10 cm.</t>
        </is>
      </c>
      <c r="U49" s="3" t="inlineStr">
        <is>
          <t>Nel prezzario Liguria 2026 non c'è una voce del solo materiale, senza la posa. La cella del prezzo resta vuota.</t>
        </is>
      </c>
      <c r="V49" s="11">
        <f>IF(Q49="€/m³",P49,IF(AND(Q49="€/m²",R49&gt;0),P49/(R49/1000),IF(Q49="€/kg",P49*D49,"")))</f>
        <v/>
      </c>
    </row>
    <row r="50">
      <c r="A50" s="5" t="n">
        <v>49</v>
      </c>
      <c r="B50" s="5" t="inlineStr">
        <is>
          <t>C - Materie prime</t>
        </is>
      </c>
      <c r="C50" s="5" t="inlineStr">
        <is>
          <t>Legno di conifere (trasversale)</t>
        </is>
      </c>
      <c r="D50" s="6" t="n">
        <v>500</v>
      </c>
      <c r="E50" s="7" t="n">
        <v>0.13</v>
      </c>
      <c r="F50" s="8" t="n">
        <v>1.3</v>
      </c>
      <c r="G50" s="8" t="n">
        <v>0.8100000000000001</v>
      </c>
      <c r="H50" s="8" t="n">
        <v>8.08</v>
      </c>
      <c r="I50" s="6" t="n">
        <v>1600</v>
      </c>
      <c r="O50" s="3" t="inlineStr">
        <is>
          <t>Termici: numeri portati dal PDF archiviato in @ Oldies/proprieta_termiche_materiali.pdf (21 ottobre 2026). Da usare è questo file. Il calore specifico non era stampato: è ricavato dallo sfasamento a 10 cm.</t>
        </is>
      </c>
      <c r="U50" s="3" t="inlineStr">
        <is>
          <t>Il prezzo del legno da struttura è sulla riga «Abete o pino da costruzione, classe C24». Questa riga resta quella termica del PDF.</t>
        </is>
      </c>
      <c r="V50" s="11">
        <f>IF(Q50="€/m³",P50,IF(AND(Q50="€/m²",R50&gt;0),P50/(R50/1000),IF(Q50="€/kg",P50*D50,"")))</f>
        <v/>
      </c>
    </row>
    <row r="51">
      <c r="A51" s="5" t="n">
        <v>50</v>
      </c>
      <c r="B51" s="5" t="inlineStr">
        <is>
          <t>C - Materie prime</t>
        </is>
      </c>
      <c r="C51" s="5" t="inlineStr">
        <is>
          <t>Legno di conifere (longitudinale)</t>
        </is>
      </c>
      <c r="D51" s="6" t="n">
        <v>500</v>
      </c>
      <c r="E51" s="7" t="n">
        <v>0.22</v>
      </c>
      <c r="F51" s="8" t="n">
        <v>2.2</v>
      </c>
      <c r="G51" s="8" t="n">
        <v>0.62</v>
      </c>
      <c r="H51" s="8" t="n">
        <v>6.21</v>
      </c>
      <c r="I51" s="6" t="n">
        <v>1600</v>
      </c>
      <c r="O51" s="3" t="inlineStr">
        <is>
          <t>Termici: numeri portati dal PDF archiviato in @ Oldies/proprieta_termiche_materiali.pdf (21 ottobre 2026). Da usare è questo file. Il calore specifico non era stampato: è ricavato dallo sfasamento a 10 cm.</t>
        </is>
      </c>
      <c r="U51" s="3" t="inlineStr">
        <is>
          <t>Stesso legno della riga trasversale: cambia solo la direzione della lambda. Il prezzo è sulla riga C24.</t>
        </is>
      </c>
      <c r="V51" s="11">
        <f>IF(Q51="€/m³",P51,IF(AND(Q51="€/m²",R51&gt;0),P51/(R51/1000),IF(Q51="€/kg",P51*D51,"")))</f>
        <v/>
      </c>
    </row>
    <row r="52">
      <c r="A52" s="5" t="n">
        <v>51</v>
      </c>
      <c r="B52" s="5" t="inlineStr">
        <is>
          <t>C - Materie prime</t>
        </is>
      </c>
      <c r="C52" s="5" t="inlineStr">
        <is>
          <t>Legno di latifoglie</t>
        </is>
      </c>
      <c r="D52" s="6" t="n">
        <v>800</v>
      </c>
      <c r="E52" s="7" t="n">
        <v>0.18</v>
      </c>
      <c r="F52" s="8" t="n">
        <v>1.8</v>
      </c>
      <c r="G52" s="8" t="n">
        <v>0.87</v>
      </c>
      <c r="H52" s="8" t="n">
        <v>8.69</v>
      </c>
      <c r="I52" s="6" t="n">
        <v>1600</v>
      </c>
      <c r="O52" s="3" t="inlineStr">
        <is>
          <t>Termici: numeri portati dal PDF archiviato in @ Oldies/proprieta_termiche_materiali.pdf (21 ottobre 2026). Da usare è questo file. Il calore specifico non era stampato: è ricavato dallo sfasamento a 10 cm.</t>
        </is>
      </c>
      <c r="P52" s="9" t="n">
        <v>1834.25</v>
      </c>
      <c r="Q52" t="inlineStr">
        <is>
          <t>€/m³</t>
        </is>
      </c>
      <c r="S52" t="inlineStr">
        <is>
          <t>ottobre 2026</t>
        </is>
      </c>
      <c r="T52" s="10" t="inlineStr">
        <is>
          <t>Prezzario Liguria 2026, PR.A08.A33.010</t>
        </is>
      </c>
      <c r="U52" s="3" t="inlineStr">
        <is>
          <t>Legname di rovere per orditura di tetti e solai, sezioni da 20×20 a 30×30 cm. Non è un listello da pavimento. IVA esclusa. Franco cantiere, senza posa. Nel prezzo del prezzario ci sono anche il 15% di spese generali e il 10% di utile. Listino aggiornato l'11 febbraio 2026, ancora in vigore a ottobre.</t>
        </is>
      </c>
      <c r="V52" s="11">
        <f>IF(Q52="€/m³",P52,IF(AND(Q52="€/m²",R52&gt;0),P52/(R52/1000),IF(Q52="€/kg",P52*D52,"")))</f>
        <v/>
      </c>
    </row>
    <row r="53">
      <c r="A53" s="5" t="n">
        <v>52</v>
      </c>
      <c r="B53" s="5" t="inlineStr">
        <is>
          <t>D - Pavimentazioni</t>
        </is>
      </c>
      <c r="C53" s="5" t="inlineStr">
        <is>
          <t>Massetto in cemento</t>
        </is>
      </c>
      <c r="D53" s="6" t="n">
        <v>2000</v>
      </c>
      <c r="E53" s="7" t="n">
        <v>1.4</v>
      </c>
      <c r="F53" s="8" t="n">
        <v>14</v>
      </c>
      <c r="G53" s="8" t="n">
        <v>0.39</v>
      </c>
      <c r="H53" s="8" t="n">
        <v>3.89</v>
      </c>
      <c r="I53" s="6" t="n">
        <v>1000</v>
      </c>
      <c r="O53" s="3" t="inlineStr">
        <is>
          <t>Termici: numeri portati dal PDF archiviato in @ Oldies/proprieta_termiche_materiali.pdf (21 ottobre 2026). Da usare è questo file. Il calore specifico non era stampato: è ricavato dallo sfasamento a 10 cm.</t>
        </is>
      </c>
      <c r="U53" s="3" t="inlineStr">
        <is>
          <t>Nel prezzario Liguria 2026 non c'è una voce del solo materiale, senza la posa. La cella del prezzo resta vuota.</t>
        </is>
      </c>
      <c r="V53" s="11">
        <f>IF(Q53="€/m³",P53,IF(AND(Q53="€/m²",R53&gt;0),P53/(R53/1000),IF(Q53="€/kg",P53*D53,"")))</f>
        <v/>
      </c>
    </row>
    <row r="54">
      <c r="A54" s="5" t="n">
        <v>53</v>
      </c>
      <c r="B54" s="5" t="inlineStr">
        <is>
          <t>D - Pavimentazioni</t>
        </is>
      </c>
      <c r="C54" s="5" t="inlineStr">
        <is>
          <t>Massetto autolivellante</t>
        </is>
      </c>
      <c r="D54" s="6" t="n">
        <v>2000</v>
      </c>
      <c r="E54" s="7" t="n">
        <v>1.1</v>
      </c>
      <c r="F54" s="8" t="n">
        <v>11</v>
      </c>
      <c r="G54" s="8" t="n">
        <v>0.44</v>
      </c>
      <c r="H54" s="8" t="n">
        <v>4.39</v>
      </c>
      <c r="I54" s="6" t="n">
        <v>1000</v>
      </c>
      <c r="O54" s="3" t="inlineStr">
        <is>
          <t>Termici: numeri portati dal PDF archiviato in @ Oldies/proprieta_termiche_materiali.pdf (21 ottobre 2026). Da usare è questo file. Il calore specifico non era stampato: è ricavato dallo sfasamento a 10 cm.</t>
        </is>
      </c>
      <c r="U54" s="3" t="inlineStr">
        <is>
          <t>Nel prezzario Liguria 2026 non c'è una voce del solo materiale, senza la posa. La cella del prezzo resta vuota.</t>
        </is>
      </c>
      <c r="V54" s="11">
        <f>IF(Q54="€/m³",P54,IF(AND(Q54="€/m²",R54&gt;0),P54/(R54/1000),IF(Q54="€/kg",P54*D54,"")))</f>
        <v/>
      </c>
    </row>
    <row r="55">
      <c r="A55" s="5" t="n">
        <v>54</v>
      </c>
      <c r="B55" s="5" t="inlineStr">
        <is>
          <t>D - Pavimentazioni</t>
        </is>
      </c>
      <c r="C55" s="5" t="inlineStr">
        <is>
          <t>Massetto in asfalto</t>
        </is>
      </c>
      <c r="D55" s="6" t="n">
        <v>2200</v>
      </c>
      <c r="E55" s="7" t="n">
        <v>0.8</v>
      </c>
      <c r="F55" s="8" t="n">
        <v>8</v>
      </c>
      <c r="G55" s="8" t="n">
        <v>0.54</v>
      </c>
      <c r="H55" s="8" t="n">
        <v>5.4</v>
      </c>
      <c r="I55" s="6" t="n">
        <v>1000</v>
      </c>
      <c r="O55" s="3" t="inlineStr">
        <is>
          <t>Termici: numeri portati dal PDF archiviato in @ Oldies/proprieta_termiche_materiali.pdf (21 ottobre 2026). Da usare è questo file. Il calore specifico non era stampato: è ricavato dallo sfasamento a 10 cm.</t>
        </is>
      </c>
      <c r="U55" s="3" t="inlineStr">
        <is>
          <t>Nel prezzario Liguria 2026 non c'è una voce del solo materiale, senza la posa. La cella del prezzo resta vuota.</t>
        </is>
      </c>
      <c r="V55" s="11">
        <f>IF(Q55="€/m³",P55,IF(AND(Q55="€/m²",R55&gt;0),P55/(R55/1000),IF(Q55="€/kg",P55*D55,"")))</f>
        <v/>
      </c>
    </row>
    <row r="56">
      <c r="A56" s="5" t="n">
        <v>55</v>
      </c>
      <c r="B56" s="5" t="inlineStr">
        <is>
          <t>D - Pavimentazioni</t>
        </is>
      </c>
      <c r="C56" s="5" t="inlineStr">
        <is>
          <t>Ceramica</t>
        </is>
      </c>
      <c r="D56" s="6" t="n">
        <v>2000</v>
      </c>
      <c r="E56" s="7" t="n">
        <v>1.2</v>
      </c>
      <c r="F56" s="8" t="n">
        <v>12</v>
      </c>
      <c r="G56" s="8" t="n">
        <v>0.39</v>
      </c>
      <c r="H56" s="8" t="n">
        <v>3.85</v>
      </c>
      <c r="I56" s="6" t="n">
        <v>840</v>
      </c>
      <c r="O56" s="3" t="inlineStr">
        <is>
          <t>Termici: numeri portati dal PDF archiviato in @ Oldies/proprieta_termiche_materiali.pdf (21 ottobre 2026). Da usare è questo file. Il calore specifico non era stampato: è ricavato dallo sfasamento a 10 cm.</t>
        </is>
      </c>
      <c r="P56" s="9" t="n">
        <v>19.46</v>
      </c>
      <c r="Q56" t="inlineStr">
        <is>
          <t>€/m²</t>
        </is>
      </c>
      <c r="R56" t="n">
        <v>8</v>
      </c>
      <c r="S56" t="inlineStr">
        <is>
          <t>ottobre 2026</t>
        </is>
      </c>
      <c r="T56" s="10" t="inlineStr">
        <is>
          <t>Prezzario Liguria 2026, PR.A20.A50.005</t>
        </is>
      </c>
      <c r="U56" s="3" t="inlineStr">
        <is>
          <t>Gres porcellanato, finitura naturale, spessore 8 mm. IVA esclusa. Franco cantiere, senza posa. Nel prezzo del prezzario ci sono anche il 15% di spese generali e il 10% di utile. Listino aggiornato l'11 febbraio 2026, ancora in vigore a ottobre.</t>
        </is>
      </c>
      <c r="V56" s="11">
        <f>IF(Q56="€/m³",P56,IF(AND(Q56="€/m²",R56&gt;0),P56/(R56/1000),IF(Q56="€/kg",P56*D56,"")))</f>
        <v/>
      </c>
    </row>
    <row r="57">
      <c r="A57" s="5" t="n">
        <v>56</v>
      </c>
      <c r="B57" s="5" t="inlineStr">
        <is>
          <t>D - Pavimentazioni</t>
        </is>
      </c>
      <c r="C57" s="5" t="inlineStr">
        <is>
          <t>Legno duro</t>
        </is>
      </c>
      <c r="D57" s="6" t="n">
        <v>850</v>
      </c>
      <c r="E57" s="7" t="n">
        <v>0.22</v>
      </c>
      <c r="F57" s="8" t="n">
        <v>2.2</v>
      </c>
      <c r="G57" s="8" t="n">
        <v>0.8100000000000001</v>
      </c>
      <c r="H57" s="8" t="n">
        <v>8.1</v>
      </c>
      <c r="I57" s="6" t="n">
        <v>1600</v>
      </c>
      <c r="O57" s="3" t="inlineStr">
        <is>
          <t>Termici: numeri portati dal PDF archiviato in @ Oldies/proprieta_termiche_materiali.pdf (21 ottobre 2026). Da usare è questo file. Il calore specifico non era stampato: è ricavato dallo sfasamento a 10 cm.</t>
        </is>
      </c>
      <c r="P57" s="9" t="n">
        <v>1834.25</v>
      </c>
      <c r="Q57" t="inlineStr">
        <is>
          <t>€/m³</t>
        </is>
      </c>
      <c r="S57" t="inlineStr">
        <is>
          <t>ottobre 2026</t>
        </is>
      </c>
      <c r="T57" s="10" t="inlineStr">
        <is>
          <t>Prezzario Liguria 2026, PR.A08.A33.010</t>
        </is>
      </c>
      <c r="U57" s="3" t="inlineStr">
        <is>
          <t>Nel listino non c'è un parquet. Ho messo il rovere da orditura, che è il legno duro in commercio più vicino. IVA esclusa. Franco cantiere, senza posa. Nel prezzo del prezzario ci sono anche il 15% di spese generali e il 10% di utile. Listino aggiornato l'11 febbraio 2026, ancora in vigore a ottobre.</t>
        </is>
      </c>
      <c r="V57" s="11">
        <f>IF(Q57="€/m³",P57,IF(AND(Q57="€/m²",R57&gt;0),P57/(R57/1000),IF(Q57="€/kg",P57*D57,"")))</f>
        <v/>
      </c>
    </row>
    <row r="58">
      <c r="A58" s="5" t="n">
        <v>57</v>
      </c>
      <c r="B58" s="5" t="inlineStr">
        <is>
          <t>D - Pavimentazioni</t>
        </is>
      </c>
      <c r="C58" s="5" t="inlineStr">
        <is>
          <t>Quadretti di sughero</t>
        </is>
      </c>
      <c r="D58" s="6" t="n">
        <v>300</v>
      </c>
      <c r="E58" s="7" t="n">
        <v>0.06</v>
      </c>
      <c r="F58" s="8" t="n">
        <v>0.6</v>
      </c>
      <c r="G58" s="8" t="n">
        <v>0.92</v>
      </c>
      <c r="H58" s="8" t="n">
        <v>9.210000000000001</v>
      </c>
      <c r="I58" s="6" t="n">
        <v>1600</v>
      </c>
      <c r="O58" s="3" t="inlineStr">
        <is>
          <t>Termici: numeri portati dal PDF archiviato in @ Oldies/proprieta_termiche_materiali.pdf (21 ottobre 2026). Da usare è questo file. Il calore specifico non era stampato: è ricavato dallo sfasamento a 10 cm.</t>
        </is>
      </c>
      <c r="U58" s="3" t="inlineStr">
        <is>
          <t>Nel prezzario Liguria 2026 non c'è una voce del solo materiale, senza la posa. La cella del prezzo resta vuota.</t>
        </is>
      </c>
      <c r="V58" s="11">
        <f>IF(Q58="€/m³",P58,IF(AND(Q58="€/m²",R58&gt;0),P58/(R58/1000),IF(Q58="€/kg",P58*D58,"")))</f>
        <v/>
      </c>
    </row>
    <row r="59">
      <c r="A59" s="5" t="n">
        <v>58</v>
      </c>
      <c r="B59" s="5" t="inlineStr">
        <is>
          <t>E - Intonaci e malte</t>
        </is>
      </c>
      <c r="C59" s="5" t="inlineStr">
        <is>
          <t>Intonaco in cemento</t>
        </is>
      </c>
      <c r="D59" s="6" t="n">
        <v>2200</v>
      </c>
      <c r="E59" s="7" t="n">
        <v>1.4</v>
      </c>
      <c r="F59" s="8" t="n">
        <v>14</v>
      </c>
      <c r="G59" s="8" t="n">
        <v>0.41</v>
      </c>
      <c r="H59" s="8" t="n">
        <v>4.08</v>
      </c>
      <c r="I59" s="6" t="n">
        <v>1000</v>
      </c>
      <c r="O59" s="3" t="inlineStr">
        <is>
          <t>Termici: numeri portati dal PDF archiviato in @ Oldies/proprieta_termiche_materiali.pdf (21 ottobre 2026). Da usare è questo file. Il calore specifico non era stampato: è ricavato dallo sfasamento a 10 cm.</t>
        </is>
      </c>
      <c r="P59" s="9" t="n">
        <v>0.19</v>
      </c>
      <c r="Q59" t="inlineStr">
        <is>
          <t>€/kg</t>
        </is>
      </c>
      <c r="S59" t="inlineStr">
        <is>
          <t>ottobre 2026</t>
        </is>
      </c>
      <c r="T59" s="10" t="inlineStr">
        <is>
          <t>Prezzario Liguria 2026, PR.A02.A20.130</t>
        </is>
      </c>
      <c r="U59" s="3" t="inlineStr">
        <is>
          <t>Malta premiscelata di fondo, calce idrata e cemento. Si compra a peso. IVA esclusa. Franco cantiere, senza posa. Nel prezzo del prezzario ci sono anche il 15% di spese generali e il 10% di utile. Listino aggiornato l'11 febbraio 2026, ancora in vigore a ottobre.</t>
        </is>
      </c>
      <c r="V59" s="11">
        <f>IF(Q59="€/m³",P59,IF(AND(Q59="€/m²",R59&gt;0),P59/(R59/1000),IF(Q59="€/kg",P59*D59,"")))</f>
        <v/>
      </c>
    </row>
    <row r="60">
      <c r="A60" s="5" t="n">
        <v>59</v>
      </c>
      <c r="B60" s="5" t="inlineStr">
        <is>
          <t>E - Intonaci e malte</t>
        </is>
      </c>
      <c r="C60" s="5" t="inlineStr">
        <is>
          <t>Intonaco calce-cemento</t>
        </is>
      </c>
      <c r="D60" s="6" t="n">
        <v>1800</v>
      </c>
      <c r="E60" s="7" t="n">
        <v>1</v>
      </c>
      <c r="F60" s="8" t="n">
        <v>10</v>
      </c>
      <c r="G60" s="8" t="n">
        <v>0.44</v>
      </c>
      <c r="H60" s="8" t="n">
        <v>4.37</v>
      </c>
      <c r="I60" s="6" t="n">
        <v>1000</v>
      </c>
      <c r="O60" s="3" t="inlineStr">
        <is>
          <t>Termici: numeri portati dal PDF archiviato in @ Oldies/proprieta_termiche_materiali.pdf (21 ottobre 2026). Da usare è questo file. Il calore specifico non era stampato: è ricavato dallo sfasamento a 10 cm.</t>
        </is>
      </c>
      <c r="P60" s="9" t="n">
        <v>0.19</v>
      </c>
      <c r="Q60" t="inlineStr">
        <is>
          <t>€/kg</t>
        </is>
      </c>
      <c r="S60" t="inlineStr">
        <is>
          <t>ottobre 2026</t>
        </is>
      </c>
      <c r="T60" s="10" t="inlineStr">
        <is>
          <t>Prezzario Liguria 2026, PR.A02.A20.130</t>
        </is>
      </c>
      <c r="U60" s="3" t="inlineStr">
        <is>
          <t>Stessa malta di fondo, calce idrata e cemento. IVA esclusa. Franco cantiere, senza posa. Nel prezzo del prezzario ci sono anche il 15% di spese generali e il 10% di utile. Listino aggiornato l'11 febbraio 2026, ancora in vigore a ottobre.</t>
        </is>
      </c>
      <c r="V60" s="11">
        <f>IF(Q60="€/m³",P60,IF(AND(Q60="€/m²",R60&gt;0),P60/(R60/1000),IF(Q60="€/kg",P60*D60,"")))</f>
        <v/>
      </c>
    </row>
    <row r="61">
      <c r="A61" s="5" t="n">
        <v>60</v>
      </c>
      <c r="B61" s="5" t="inlineStr">
        <is>
          <t>E - Intonaci e malte</t>
        </is>
      </c>
      <c r="C61" s="5" t="inlineStr">
        <is>
          <t>Intonaco con isolante</t>
        </is>
      </c>
      <c r="D61" s="6" t="n">
        <v>1200</v>
      </c>
      <c r="E61" s="7" t="n">
        <v>0.9</v>
      </c>
      <c r="F61" s="8" t="n">
        <v>9</v>
      </c>
      <c r="G61" s="8" t="n">
        <v>0.38</v>
      </c>
      <c r="H61" s="8" t="n">
        <v>3.76</v>
      </c>
      <c r="I61" s="6" t="n">
        <v>1000</v>
      </c>
      <c r="O61" s="3" t="inlineStr">
        <is>
          <t>Termici: numeri portati dal PDF archiviato in @ Oldies/proprieta_termiche_materiali.pdf (21 ottobre 2026). Da usare è questo file. Il calore specifico non era stampato: è ricavato dallo sfasamento a 10 cm.</t>
        </is>
      </c>
      <c r="U61" s="3" t="inlineStr">
        <is>
          <t>Nel prezzario Liguria 2026 non c'è una voce del solo materiale, senza la posa. La cella del prezzo resta vuota.</t>
        </is>
      </c>
      <c r="V61" s="11">
        <f>IF(Q61="€/m³",P61,IF(AND(Q61="€/m²",R61&gt;0),P61/(R61/1000),IF(Q61="€/kg",P61*D61,"")))</f>
        <v/>
      </c>
    </row>
    <row r="62">
      <c r="A62" s="5" t="n">
        <v>61</v>
      </c>
      <c r="B62" s="5" t="inlineStr">
        <is>
          <t>E - Intonaci e malte</t>
        </is>
      </c>
      <c r="C62" s="5" t="inlineStr">
        <is>
          <t>Intonaco in calce</t>
        </is>
      </c>
      <c r="D62" s="6" t="n">
        <v>1600</v>
      </c>
      <c r="E62" s="7" t="n">
        <v>0.8</v>
      </c>
      <c r="F62" s="8" t="n">
        <v>8</v>
      </c>
      <c r="G62" s="8" t="n">
        <v>0.46</v>
      </c>
      <c r="H62" s="8" t="n">
        <v>4.61</v>
      </c>
      <c r="I62" s="6" t="n">
        <v>1000</v>
      </c>
      <c r="O62" s="3" t="inlineStr">
        <is>
          <t>Termici: numeri portati dal PDF archiviato in @ Oldies/proprieta_termiche_materiali.pdf (21 ottobre 2026). Da usare è questo file. Il calore specifico non era stampato: è ricavato dallo sfasamento a 10 cm.</t>
        </is>
      </c>
      <c r="P62" s="9" t="n">
        <v>0.23</v>
      </c>
      <c r="Q62" t="inlineStr">
        <is>
          <t>€/kg</t>
        </is>
      </c>
      <c r="S62" t="inlineStr">
        <is>
          <t>ottobre 2026</t>
        </is>
      </c>
      <c r="T62" s="10" t="inlineStr">
        <is>
          <t>Prezzario Liguria 2026, PR.A02.A20.140</t>
        </is>
      </c>
      <c r="U62" s="3" t="inlineStr">
        <is>
          <t>Malta premiscelata di fondo a base di calce idrata. IVA esclusa. Franco cantiere, senza posa. Nel prezzo del prezzario ci sono anche il 15% di spese generali e il 10% di utile. Listino aggiornato l'11 febbraio 2026, ancora in vigore a ottobre.</t>
        </is>
      </c>
      <c r="V62" s="11">
        <f>IF(Q62="€/m³",P62,IF(AND(Q62="€/m²",R62&gt;0),P62/(R62/1000),IF(Q62="€/kg",P62*D62,"")))</f>
        <v/>
      </c>
    </row>
    <row r="63">
      <c r="A63" s="5" t="n">
        <v>62</v>
      </c>
      <c r="B63" s="5" t="inlineStr">
        <is>
          <t>E - Intonaci e malte</t>
        </is>
      </c>
      <c r="C63" s="5" t="inlineStr">
        <is>
          <t>Intonaco di gesso</t>
        </is>
      </c>
      <c r="D63" s="6" t="n">
        <v>1500</v>
      </c>
      <c r="E63" s="7" t="n">
        <v>0.7</v>
      </c>
      <c r="F63" s="8" t="n">
        <v>7</v>
      </c>
      <c r="G63" s="8" t="n">
        <v>0.48</v>
      </c>
      <c r="H63" s="8" t="n">
        <v>4.77</v>
      </c>
      <c r="I63" s="6" t="n">
        <v>1000</v>
      </c>
      <c r="O63" s="3" t="inlineStr">
        <is>
          <t>Termici: numeri portati dal PDF archiviato in @ Oldies/proprieta_termiche_materiali.pdf (21 ottobre 2026). Da usare è questo file. Il calore specifico non era stampato: è ricavato dallo sfasamento a 10 cm.</t>
        </is>
      </c>
      <c r="U63" s="3" t="inlineStr">
        <is>
          <t>Nel prezzario Liguria 2026 non c'è una voce del solo materiale, senza la posa. La cella del prezzo resta vuota.</t>
        </is>
      </c>
      <c r="V63" s="11">
        <f>IF(Q63="€/m³",P63,IF(AND(Q63="€/m²",R63&gt;0),P63/(R63/1000),IF(Q63="€/kg",P63*D63,"")))</f>
        <v/>
      </c>
    </row>
    <row r="64">
      <c r="A64" s="5" t="n">
        <v>63</v>
      </c>
      <c r="B64" s="5" t="inlineStr">
        <is>
          <t>E - Intonaci e malte</t>
        </is>
      </c>
      <c r="C64" s="5" t="inlineStr">
        <is>
          <t>Intonaco isolato perlite</t>
        </is>
      </c>
      <c r="D64" s="6" t="n">
        <v>450</v>
      </c>
      <c r="E64" s="7" t="n">
        <v>0.13</v>
      </c>
      <c r="F64" s="8" t="n">
        <v>1.3</v>
      </c>
      <c r="G64" s="8" t="n">
        <v>0.61</v>
      </c>
      <c r="H64" s="8" t="n">
        <v>6.06</v>
      </c>
      <c r="I64" s="6" t="n">
        <v>1000</v>
      </c>
      <c r="O64" s="3" t="inlineStr">
        <is>
          <t>Termici: numeri portati dal PDF archiviato in @ Oldies/proprieta_termiche_materiali.pdf (21 ottobre 2026). Da usare è questo file. Il calore specifico non era stampato: è ricavato dallo sfasamento a 10 cm.</t>
        </is>
      </c>
      <c r="U64" s="3" t="inlineStr">
        <is>
          <t>Nel prezzario Liguria 2026 non c'è una voce del solo materiale, senza la posa. La cella del prezzo resta vuota.</t>
        </is>
      </c>
      <c r="V64" s="11">
        <f>IF(Q64="€/m³",P64,IF(AND(Q64="€/m²",R64&gt;0),P64/(R64/1000),IF(Q64="€/kg",P64*D64,"")))</f>
        <v/>
      </c>
    </row>
    <row r="65">
      <c r="A65" s="5" t="n">
        <v>64</v>
      </c>
      <c r="B65" s="5" t="inlineStr">
        <is>
          <t>E - Intonaci e malte</t>
        </is>
      </c>
      <c r="C65" s="5" t="inlineStr">
        <is>
          <t>Intonaco isolato polistirolo</t>
        </is>
      </c>
      <c r="D65" s="6" t="n">
        <v>250</v>
      </c>
      <c r="E65" s="7" t="n">
        <v>0.09</v>
      </c>
      <c r="F65" s="8" t="n">
        <v>0.9</v>
      </c>
      <c r="G65" s="8" t="n">
        <v>0.57</v>
      </c>
      <c r="H65" s="8" t="n">
        <v>5.69</v>
      </c>
      <c r="I65" s="6" t="n">
        <v>1100</v>
      </c>
      <c r="O65" s="3" t="inlineStr">
        <is>
          <t>Termici: numeri portati dal PDF archiviato in @ Oldies/proprieta_termiche_materiali.pdf (21 ottobre 2026). Da usare è questo file. Il calore specifico non era stampato: è ricavato dallo sfasamento a 10 cm.</t>
        </is>
      </c>
      <c r="U65" s="3" t="inlineStr">
        <is>
          <t>Nel prezzario Liguria 2026 non c'è una voce del solo materiale, senza la posa. La cella del prezzo resta vuota.</t>
        </is>
      </c>
      <c r="V65" s="11">
        <f>IF(Q65="€/m³",P65,IF(AND(Q65="€/m²",R65&gt;0),P65/(R65/1000),IF(Q65="€/kg",P65*D65,"")))</f>
        <v/>
      </c>
    </row>
    <row r="66">
      <c r="A66" s="5" t="n">
        <v>65</v>
      </c>
      <c r="B66" s="5" t="inlineStr">
        <is>
          <t>E - Intonaci e malte</t>
        </is>
      </c>
      <c r="C66" s="5" t="inlineStr">
        <is>
          <t>Malta di cemento</t>
        </is>
      </c>
      <c r="D66" s="6" t="n">
        <v>2200</v>
      </c>
      <c r="E66" s="7" t="n">
        <v>1.4</v>
      </c>
      <c r="F66" s="8" t="n">
        <v>14</v>
      </c>
      <c r="G66" s="8" t="n">
        <v>0.41</v>
      </c>
      <c r="H66" s="8" t="n">
        <v>4.08</v>
      </c>
      <c r="I66" s="6" t="n">
        <v>1000</v>
      </c>
      <c r="O66" s="3" t="inlineStr">
        <is>
          <t>Termici: numeri portati dal PDF archiviato in @ Oldies/proprieta_termiche_materiali.pdf (21 ottobre 2026). Da usare è questo file. Il calore specifico non era stampato: è ricavato dallo sfasamento a 10 cm.</t>
        </is>
      </c>
      <c r="P66" s="9" t="n">
        <v>0.19</v>
      </c>
      <c r="Q66" t="inlineStr">
        <is>
          <t>€/kg</t>
        </is>
      </c>
      <c r="S66" t="inlineStr">
        <is>
          <t>ottobre 2026</t>
        </is>
      </c>
      <c r="T66" s="10" t="inlineStr">
        <is>
          <t>Prezzario Liguria 2026, PR.A02.A20.130</t>
        </is>
      </c>
      <c r="U66" s="3" t="inlineStr">
        <is>
          <t>Malta premiscelata di fondo, calce idrata e cemento. Non è il cemento in sacchi. IVA esclusa. Franco cantiere, senza posa. Nel prezzo del prezzario ci sono anche il 15% di spese generali e il 10% di utile. Listino aggiornato l'11 febbraio 2026, ancora in vigore a ottobre.</t>
        </is>
      </c>
      <c r="V66" s="11">
        <f>IF(Q66="€/m³",P66,IF(AND(Q66="€/m²",R66&gt;0),P66/(R66/1000),IF(Q66="€/kg",P66*D66,"")))</f>
        <v/>
      </c>
    </row>
    <row r="67">
      <c r="A67" s="5" t="n">
        <v>66</v>
      </c>
      <c r="B67" s="5" t="inlineStr">
        <is>
          <t>E - Intonaci e malte</t>
        </is>
      </c>
      <c r="C67" s="5" t="inlineStr">
        <is>
          <t>Malta di calce/cemento</t>
        </is>
      </c>
      <c r="D67" s="6" t="n">
        <v>1800</v>
      </c>
      <c r="E67" s="7" t="n">
        <v>1</v>
      </c>
      <c r="F67" s="8" t="n">
        <v>10</v>
      </c>
      <c r="G67" s="8" t="n">
        <v>0.44</v>
      </c>
      <c r="H67" s="8" t="n">
        <v>4.37</v>
      </c>
      <c r="I67" s="6" t="n">
        <v>1000</v>
      </c>
      <c r="O67" s="3" t="inlineStr">
        <is>
          <t>Termici: numeri portati dal PDF archiviato in @ Oldies/proprieta_termiche_materiali.pdf (21 ottobre 2026). Da usare è questo file. Il calore specifico non era stampato: è ricavato dallo sfasamento a 10 cm.</t>
        </is>
      </c>
      <c r="P67" s="9" t="n">
        <v>0.19</v>
      </c>
      <c r="Q67" t="inlineStr">
        <is>
          <t>€/kg</t>
        </is>
      </c>
      <c r="S67" t="inlineStr">
        <is>
          <t>ottobre 2026</t>
        </is>
      </c>
      <c r="T67" s="10" t="inlineStr">
        <is>
          <t>Prezzario Liguria 2026, PR.A02.A20.130</t>
        </is>
      </c>
      <c r="U67" s="3" t="inlineStr">
        <is>
          <t>Stessa malta di fondo, calce idrata e cemento. IVA esclusa. Franco cantiere, senza posa. Nel prezzo del prezzario ci sono anche il 15% di spese generali e il 10% di utile. Listino aggiornato l'11 febbraio 2026, ancora in vigore a ottobre.</t>
        </is>
      </c>
      <c r="V67" s="11">
        <f>IF(Q67="€/m³",P67,IF(AND(Q67="€/m²",R67&gt;0),P67/(R67/1000),IF(Q67="€/kg",P67*D67,"")))</f>
        <v/>
      </c>
    </row>
    <row r="68">
      <c r="A68" s="5" t="n">
        <v>67</v>
      </c>
      <c r="B68" s="5" t="inlineStr">
        <is>
          <t>E - Intonaci e malte</t>
        </is>
      </c>
      <c r="C68" s="5" t="inlineStr">
        <is>
          <t>Malta termoisolante, sotto 800 kg/m3</t>
        </is>
      </c>
      <c r="D68" s="6" t="n">
        <v>800</v>
      </c>
      <c r="E68" s="7" t="n">
        <v>0.28</v>
      </c>
      <c r="F68" s="8" t="n">
        <v>2.8</v>
      </c>
      <c r="G68" s="8" t="n">
        <v>0.55</v>
      </c>
      <c r="H68" s="8" t="n">
        <v>5.51</v>
      </c>
      <c r="I68" s="6" t="n">
        <v>1000</v>
      </c>
      <c r="O68" s="3" t="inlineStr">
        <is>
          <t>Termici: numeri portati dal PDF archiviato in @ Oldies/proprieta_termiche_materiali.pdf (21 ottobre 2026). Da usare è questo file. Il calore specifico non era stampato: è ricavato dallo sfasamento a 10 cm.</t>
        </is>
      </c>
      <c r="U68" s="3" t="inlineStr">
        <is>
          <t>Nel prezzario Liguria 2026 non c'è una voce del solo materiale, senza la posa. La cella del prezzo resta vuota.</t>
        </is>
      </c>
      <c r="V68" s="11">
        <f>IF(Q68="€/m³",P68,IF(AND(Q68="€/m²",R68&gt;0),P68/(R68/1000),IF(Q68="€/kg",P68*D68,"")))</f>
        <v/>
      </c>
    </row>
    <row r="69">
      <c r="A69" s="5" t="n">
        <v>68</v>
      </c>
      <c r="B69" s="5" t="inlineStr">
        <is>
          <t>F - Murature</t>
        </is>
      </c>
      <c r="C69" s="5" t="inlineStr">
        <is>
          <t>Blocchi con argilla espansa</t>
        </is>
      </c>
      <c r="D69" s="6" t="n">
        <v>800</v>
      </c>
      <c r="E69" s="7" t="n">
        <v>0.18</v>
      </c>
      <c r="F69" s="8" t="n">
        <v>1.8</v>
      </c>
      <c r="G69" s="8" t="n">
        <v>0.6899999999999999</v>
      </c>
      <c r="H69" s="8" t="n">
        <v>6.87</v>
      </c>
      <c r="I69" s="6" t="n">
        <v>1000</v>
      </c>
      <c r="O69" s="3" t="inlineStr">
        <is>
          <t>Termici: numeri portati dal PDF archiviato in @ Oldies/proprieta_termiche_materiali.pdf (21 ottobre 2026). Da usare è questo file. Il calore specifico non era stampato: è ricavato dallo sfasamento a 10 cm.</t>
        </is>
      </c>
      <c r="P69" s="9" t="n">
        <v>22.39</v>
      </c>
      <c r="Q69" t="inlineStr">
        <is>
          <t>€/m²</t>
        </is>
      </c>
      <c r="R69" t="n">
        <v>200</v>
      </c>
      <c r="S69" t="inlineStr">
        <is>
          <t>ottobre 2026</t>
        </is>
      </c>
      <c r="T69" s="10" t="inlineStr">
        <is>
          <t>Prezzario Liguria 2026, PR.A11.A11.010</t>
        </is>
      </c>
      <c r="U69" s="3" t="inlineStr">
        <is>
          <t>Blocchi prefabbricati di argilla, spessore 20 cm. Il listino non dice se sono pieni o cavi. IVA esclusa. Franco cantiere, senza posa. Nel prezzo del prezzario ci sono anche il 15% di spese generali e il 10% di utile. Listino aggiornato l'11 febbraio 2026, ancora in vigore a ottobre.</t>
        </is>
      </c>
      <c r="V69" s="11">
        <f>IF(Q69="€/m³",P69,IF(AND(Q69="€/m²",R69&gt;0),P69/(R69/1000),IF(Q69="€/kg",P69*D69,"")))</f>
        <v/>
      </c>
    </row>
    <row r="70">
      <c r="A70" s="5" t="n">
        <v>69</v>
      </c>
      <c r="B70" s="5" t="inlineStr">
        <is>
          <t>F - Murature</t>
        </is>
      </c>
      <c r="C70" s="5" t="inlineStr">
        <is>
          <t>Blocchi cavi con argilla espansa</t>
        </is>
      </c>
      <c r="D70" s="6" t="n">
        <v>650</v>
      </c>
      <c r="E70" s="7" t="n">
        <v>0.22</v>
      </c>
      <c r="F70" s="8" t="n">
        <v>2.2</v>
      </c>
      <c r="G70" s="8" t="n">
        <v>0.5600000000000001</v>
      </c>
      <c r="H70" s="8" t="n">
        <v>5.6</v>
      </c>
      <c r="I70" s="6" t="n">
        <v>1000</v>
      </c>
      <c r="O70" s="3" t="inlineStr">
        <is>
          <t>Termici: numeri portati dal PDF archiviato in @ Oldies/proprieta_termiche_materiali.pdf (21 ottobre 2026). Da usare è questo file. Il calore specifico non era stampato: è ricavato dallo sfasamento a 10 cm.</t>
        </is>
      </c>
      <c r="P70" s="9" t="n">
        <v>22.39</v>
      </c>
      <c r="Q70" t="inlineStr">
        <is>
          <t>€/m²</t>
        </is>
      </c>
      <c r="R70" t="n">
        <v>200</v>
      </c>
      <c r="S70" t="inlineStr">
        <is>
          <t>ottobre 2026</t>
        </is>
      </c>
      <c r="T70" s="10" t="inlineStr">
        <is>
          <t>Prezzario Liguria 2026, PR.A11.A11.010</t>
        </is>
      </c>
      <c r="U70" s="3" t="inlineStr">
        <is>
          <t>Stessa voce: il listino non distingue i blocchi pieni dai cavi. Spessore 20 cm. IVA esclusa. Franco cantiere, senza posa. Nel prezzo del prezzario ci sono anche il 15% di spese generali e il 10% di utile. Listino aggiornato l'11 febbraio 2026, ancora in vigore a ottobre.</t>
        </is>
      </c>
      <c r="V70" s="11">
        <f>IF(Q70="€/m³",P70,IF(AND(Q70="€/m²",R70&gt;0),P70/(R70/1000),IF(Q70="€/kg",P70*D70,"")))</f>
        <v/>
      </c>
    </row>
    <row r="71">
      <c r="A71" s="5" t="n">
        <v>70</v>
      </c>
      <c r="B71" s="5" t="inlineStr">
        <is>
          <t>F - Murature</t>
        </is>
      </c>
      <c r="C71" s="5" t="inlineStr">
        <is>
          <t>Blocchi in tufo</t>
        </is>
      </c>
      <c r="D71" s="6" t="n">
        <v>1500</v>
      </c>
      <c r="E71" s="7" t="n">
        <v>0.6</v>
      </c>
      <c r="F71" s="8" t="n">
        <v>6</v>
      </c>
      <c r="G71" s="8" t="n">
        <v>0.52</v>
      </c>
      <c r="H71" s="8" t="n">
        <v>5.15</v>
      </c>
      <c r="I71" s="6" t="n">
        <v>1000</v>
      </c>
      <c r="O71" s="3" t="inlineStr">
        <is>
          <t>Termici: numeri portati dal PDF archiviato in @ Oldies/proprieta_termiche_materiali.pdf (21 ottobre 2026). Da usare è questo file. Il calore specifico non era stampato: è ricavato dallo sfasamento a 10 cm.</t>
        </is>
      </c>
      <c r="U71" s="3" t="inlineStr">
        <is>
          <t>Nel prezzario Liguria 2026 non c'è una voce del solo materiale, senza la posa. La cella del prezzo resta vuota.</t>
        </is>
      </c>
      <c r="V71" s="11">
        <f>IF(Q71="€/m³",P71,IF(AND(Q71="€/m²",R71&gt;0),P71/(R71/1000),IF(Q71="€/kg",P71*D71,"")))</f>
        <v/>
      </c>
    </row>
    <row r="72">
      <c r="A72" s="5" t="n">
        <v>71</v>
      </c>
      <c r="B72" s="5" t="inlineStr">
        <is>
          <t>F - Murature</t>
        </is>
      </c>
      <c r="C72" s="5" t="inlineStr">
        <is>
          <t>Blocchi alleggeriti con lana di legno</t>
        </is>
      </c>
      <c r="D72" s="6" t="n">
        <v>1500</v>
      </c>
      <c r="E72" s="7" t="n">
        <v>0.45</v>
      </c>
      <c r="F72" s="8" t="n">
        <v>4.5</v>
      </c>
      <c r="G72" s="8" t="n">
        <v>0.65</v>
      </c>
      <c r="H72" s="8" t="n">
        <v>6.51</v>
      </c>
      <c r="I72" s="6" t="n">
        <v>1200</v>
      </c>
      <c r="O72" s="3" t="inlineStr">
        <is>
          <t>Termici: numeri portati dal PDF archiviato in @ Oldies/proprieta_termiche_materiali.pdf (21 ottobre 2026). Da usare è questo file. Il calore specifico non era stampato: è ricavato dallo sfasamento a 10 cm.</t>
        </is>
      </c>
      <c r="U72" s="3" t="inlineStr">
        <is>
          <t>Nel prezzario Liguria 2026 non c'è una voce del solo materiale, senza la posa. La cella del prezzo resta vuota.</t>
        </is>
      </c>
      <c r="V72" s="11">
        <f>IF(Q72="€/m³",P72,IF(AND(Q72="€/m²",R72&gt;0),P72/(R72/1000),IF(Q72="€/kg",P72*D72,"")))</f>
        <v/>
      </c>
    </row>
    <row r="73">
      <c r="A73" s="5" t="n">
        <v>72</v>
      </c>
      <c r="B73" s="5" t="inlineStr">
        <is>
          <t>F - Murature</t>
        </is>
      </c>
      <c r="C73" s="5" t="inlineStr">
        <is>
          <t>Mattone facciavista klinker</t>
        </is>
      </c>
      <c r="D73" s="6" t="n">
        <v>1800</v>
      </c>
      <c r="E73" s="7" t="n">
        <v>1</v>
      </c>
      <c r="F73" s="8" t="n">
        <v>10</v>
      </c>
      <c r="G73" s="8" t="n">
        <v>0.4</v>
      </c>
      <c r="H73" s="8" t="n">
        <v>4.01</v>
      </c>
      <c r="I73" s="6" t="n">
        <v>840</v>
      </c>
      <c r="O73" s="3" t="inlineStr">
        <is>
          <t>Termici: numeri portati dal PDF archiviato in @ Oldies/proprieta_termiche_materiali.pdf (21 ottobre 2026). Da usare è questo file. Il calore specifico non era stampato: è ricavato dallo sfasamento a 10 cm.</t>
        </is>
      </c>
      <c r="U73" s="3" t="inlineStr">
        <is>
          <t>Nel prezzario Liguria 2026 non c'è una voce del solo materiale, senza la posa. La cella del prezzo resta vuota.</t>
        </is>
      </c>
      <c r="V73" s="11">
        <f>IF(Q73="€/m³",P73,IF(AND(Q73="€/m²",R73&gt;0),P73/(R73/1000),IF(Q73="€/kg",P73*D73,"")))</f>
        <v/>
      </c>
    </row>
    <row r="74">
      <c r="A74" s="5" t="n">
        <v>73</v>
      </c>
      <c r="B74" s="5" t="inlineStr">
        <is>
          <t>F - Murature</t>
        </is>
      </c>
      <c r="C74" s="5" t="inlineStr">
        <is>
          <t>Mattone pieno</t>
        </is>
      </c>
      <c r="D74" s="6" t="n">
        <v>1600</v>
      </c>
      <c r="E74" s="7" t="n">
        <v>0.7</v>
      </c>
      <c r="F74" s="8" t="n">
        <v>7</v>
      </c>
      <c r="G74" s="8" t="n">
        <v>0.45</v>
      </c>
      <c r="H74" s="8" t="n">
        <v>4.51</v>
      </c>
      <c r="I74" s="6" t="n">
        <v>840</v>
      </c>
      <c r="O74" s="3" t="inlineStr">
        <is>
          <t>Termici: numeri portati dal PDF archiviato in @ Oldies/proprieta_termiche_materiali.pdf (21 ottobre 2026). Da usare è questo file. Il calore specifico non era stampato: è ricavato dallo sfasamento a 10 cm.</t>
        </is>
      </c>
      <c r="P74" s="9" t="n">
        <v>602.49</v>
      </c>
      <c r="Q74" t="inlineStr">
        <is>
          <t>€/m³</t>
        </is>
      </c>
      <c r="S74" t="inlineStr">
        <is>
          <t>ottobre 2026</t>
        </is>
      </c>
      <c r="T74" s="10" t="inlineStr">
        <is>
          <t>Prezzario Liguria 2026, PR.A04.A10.010</t>
        </is>
      </c>
      <c r="U74" s="3" t="inlineStr">
        <is>
          <t>Mattoni comuni pressati. IVA esclusa. Franco cantiere, senza posa. Nel prezzo del prezzario ci sono anche il 15% di spese generali e il 10% di utile. Listino aggiornato l'11 febbraio 2026, ancora in vigore a ottobre.</t>
        </is>
      </c>
      <c r="V74" s="11">
        <f>IF(Q74="€/m³",P74,IF(AND(Q74="€/m²",R74&gt;0),P74/(R74/1000),IF(Q74="€/kg",P74*D74,"")))</f>
        <v/>
      </c>
    </row>
    <row r="75">
      <c r="A75" s="5" t="n">
        <v>74</v>
      </c>
      <c r="B75" s="5" t="inlineStr">
        <is>
          <t>F - Murature</t>
        </is>
      </c>
      <c r="C75" s="5" t="inlineStr">
        <is>
          <t>Mattone forato</t>
        </is>
      </c>
      <c r="D75" s="6" t="n">
        <v>1200</v>
      </c>
      <c r="E75" s="7" t="n">
        <v>0.36</v>
      </c>
      <c r="F75" s="8" t="n">
        <v>3.6</v>
      </c>
      <c r="G75" s="8" t="n">
        <v>0.55</v>
      </c>
      <c r="H75" s="8" t="n">
        <v>5.45</v>
      </c>
      <c r="I75" s="6" t="n">
        <v>840</v>
      </c>
      <c r="O75" s="3" t="inlineStr">
        <is>
          <t>Termici: numeri portati dal PDF archiviato in @ Oldies/proprieta_termiche_materiali.pdf (21 ottobre 2026). Da usare è questo file. Il calore specifico non era stampato: è ricavato dallo sfasamento a 10 cm.</t>
        </is>
      </c>
      <c r="P75" s="9" t="n">
        <v>212.52</v>
      </c>
      <c r="Q75" t="inlineStr">
        <is>
          <t>€/m³</t>
        </is>
      </c>
      <c r="S75" t="inlineStr">
        <is>
          <t>ottobre 2026</t>
        </is>
      </c>
      <c r="T75" s="10" t="inlineStr">
        <is>
          <t>Prezzario Liguria 2026, PR.A04.A10.015</t>
        </is>
      </c>
      <c r="U75" s="3" t="inlineStr">
        <is>
          <t>Mattoni comuni estrusi, foratura al massimo 45%. IVA esclusa. Franco cantiere, senza posa. Nel prezzo del prezzario ci sono anche il 15% di spese generali e il 10% di utile. Listino aggiornato l'11 febbraio 2026, ancora in vigore a ottobre.</t>
        </is>
      </c>
      <c r="V75" s="11">
        <f>IF(Q75="€/m³",P75,IF(AND(Q75="€/m²",R75&gt;0),P75/(R75/1000),IF(Q75="€/kg",P75*D75,"")))</f>
        <v/>
      </c>
    </row>
    <row r="76">
      <c r="A76" s="5" t="n">
        <v>75</v>
      </c>
      <c r="B76" s="5" t="inlineStr">
        <is>
          <t>F - Murature</t>
        </is>
      </c>
      <c r="C76" s="5" t="inlineStr">
        <is>
          <t>Tramezza in laterizio</t>
        </is>
      </c>
      <c r="D76" s="6" t="n">
        <v>1100</v>
      </c>
      <c r="E76" s="7" t="n">
        <v>0.36</v>
      </c>
      <c r="F76" s="8" t="n">
        <v>3.6</v>
      </c>
      <c r="G76" s="8" t="n">
        <v>0.52</v>
      </c>
      <c r="H76" s="8" t="n">
        <v>5.22</v>
      </c>
      <c r="I76" s="6" t="n">
        <v>840</v>
      </c>
      <c r="O76" s="3" t="inlineStr">
        <is>
          <t>Termici: numeri portati dal PDF archiviato in @ Oldies/proprieta_termiche_materiali.pdf (21 ottobre 2026). Da usare è questo file. Il calore specifico non era stampato: è ricavato dallo sfasamento a 10 cm.</t>
        </is>
      </c>
      <c r="P76" s="9" t="n">
        <v>12.84</v>
      </c>
      <c r="Q76" t="inlineStr">
        <is>
          <t>€/m²</t>
        </is>
      </c>
      <c r="R76" t="n">
        <v>30</v>
      </c>
      <c r="S76" t="inlineStr">
        <is>
          <t>ottobre 2026</t>
        </is>
      </c>
      <c r="T76" s="10" t="inlineStr">
        <is>
          <t>Prezzario Liguria 2026, PR.A04.A20.010</t>
        </is>
      </c>
      <c r="U76" s="3" t="inlineStr">
        <is>
          <t>Tavelle, spessore 3 cm, larghezza 25 cm. IVA esclusa. Franco cantiere, senza posa. Nel prezzo del prezzario ci sono anche il 15% di spese generali e il 10% di utile. Listino aggiornato l'11 febbraio 2026, ancora in vigore a ottobre.</t>
        </is>
      </c>
      <c r="V76" s="11">
        <f>IF(Q76="€/m³",P76,IF(AND(Q76="€/m²",R76&gt;0),P76/(R76/1000),IF(Q76="€/kg",P76*D76,"")))</f>
        <v/>
      </c>
    </row>
    <row r="77">
      <c r="A77" s="5" t="n">
        <v>76</v>
      </c>
      <c r="B77" s="5" t="inlineStr">
        <is>
          <t>F - Murature</t>
        </is>
      </c>
      <c r="C77" s="5" t="inlineStr">
        <is>
          <t>Mattone forato porizzato (Poroton)</t>
        </is>
      </c>
      <c r="D77" s="6" t="n">
        <v>800</v>
      </c>
      <c r="E77" s="7" t="n">
        <v>0.25</v>
      </c>
      <c r="F77" s="8" t="n">
        <v>2.5</v>
      </c>
      <c r="G77" s="8" t="n">
        <v>0.53</v>
      </c>
      <c r="H77" s="8" t="n">
        <v>5.34</v>
      </c>
      <c r="I77" s="6" t="n">
        <v>840</v>
      </c>
      <c r="O77" s="3" t="inlineStr">
        <is>
          <t>Termici: numeri portati dal PDF archiviato in @ Oldies/proprieta_termiche_materiali.pdf (21 ottobre 2026). Da usare è questo file. Il calore specifico non era stampato: è ricavato dallo sfasamento a 10 cm.</t>
        </is>
      </c>
      <c r="P77" s="9" t="n">
        <v>223.17</v>
      </c>
      <c r="Q77" t="inlineStr">
        <is>
          <t>€/m³</t>
        </is>
      </c>
      <c r="S77" t="inlineStr">
        <is>
          <t>ottobre 2026</t>
        </is>
      </c>
      <c r="T77" s="10" t="inlineStr">
        <is>
          <t>Prezzario Liguria 2026, PR.A04.A30.020</t>
        </is>
      </c>
      <c r="U77" s="3" t="inlineStr">
        <is>
          <t>Blocchi laterizi alleggeriti portanti, foratura al massimo 45%. IVA esclusa. Franco cantiere, senza posa. Nel prezzo del prezzario ci sono anche il 15% di spese generali e il 10% di utile. Listino aggiornato l'11 febbraio 2026, ancora in vigore a ottobre.</t>
        </is>
      </c>
      <c r="V77" s="11">
        <f>IF(Q77="€/m³",P77,IF(AND(Q77="€/m²",R77&gt;0),P77/(R77/1000),IF(Q77="€/kg",P77*D77,"")))</f>
        <v/>
      </c>
    </row>
    <row r="78">
      <c r="A78" s="5" t="n">
        <v>77</v>
      </c>
      <c r="B78" s="5" t="inlineStr">
        <is>
          <t>F - Murature</t>
        </is>
      </c>
      <c r="C78" s="5" t="inlineStr">
        <is>
          <t>Mattone forato porizzato alleggerito</t>
        </is>
      </c>
      <c r="D78" s="6" t="n">
        <v>650</v>
      </c>
      <c r="E78" s="7" t="n">
        <v>0.18</v>
      </c>
      <c r="F78" s="8" t="n">
        <v>1.8</v>
      </c>
      <c r="G78" s="8" t="n">
        <v>0.57</v>
      </c>
      <c r="H78" s="8" t="n">
        <v>5.67</v>
      </c>
      <c r="I78" s="6" t="n">
        <v>840</v>
      </c>
      <c r="O78" s="3" t="inlineStr">
        <is>
          <t>Termici: numeri portati dal PDF archiviato in @ Oldies/proprieta_termiche_materiali.pdf (21 ottobre 2026). Da usare è questo file. Il calore specifico non era stampato: è ricavato dallo sfasamento a 10 cm.</t>
        </is>
      </c>
      <c r="P78" s="9" t="n">
        <v>192.31</v>
      </c>
      <c r="Q78" t="inlineStr">
        <is>
          <t>€/m³</t>
        </is>
      </c>
      <c r="S78" t="inlineStr">
        <is>
          <t>ottobre 2026</t>
        </is>
      </c>
      <c r="T78" s="10" t="inlineStr">
        <is>
          <t>Prezzario Liguria 2026, PR.A04.A30.025</t>
        </is>
      </c>
      <c r="U78" s="3" t="inlineStr">
        <is>
          <t>Blocchi laterizi alleggeriti portanti, foratura fra 45% e 55%. IVA esclusa. Franco cantiere, senza posa. Nel prezzo del prezzario ci sono anche il 15% di spese generali e il 10% di utile. Listino aggiornato l'11 febbraio 2026, ancora in vigore a ottobre.</t>
        </is>
      </c>
      <c r="V78" s="11">
        <f>IF(Q78="€/m³",P78,IF(AND(Q78="€/m²",R78&gt;0),P78/(R78/1000),IF(Q78="€/kg",P78*D78,"")))</f>
        <v/>
      </c>
    </row>
    <row r="79">
      <c r="A79" s="5" t="n">
        <v>78</v>
      </c>
      <c r="B79" s="5" t="inlineStr">
        <is>
          <t>F - Murature</t>
        </is>
      </c>
      <c r="C79" s="5" t="inlineStr">
        <is>
          <t>Blocco cassero in laterizio</t>
        </is>
      </c>
      <c r="D79" s="6" t="n">
        <v>1700</v>
      </c>
      <c r="E79" s="7" t="n">
        <v>0.55</v>
      </c>
      <c r="F79" s="8" t="n">
        <v>5.5</v>
      </c>
      <c r="G79" s="8" t="n">
        <v>0.52</v>
      </c>
      <c r="H79" s="8" t="n">
        <v>5.25</v>
      </c>
      <c r="I79" s="6" t="n">
        <v>840</v>
      </c>
      <c r="O79" s="3" t="inlineStr">
        <is>
          <t>Termici: numeri portati dal PDF archiviato in @ Oldies/proprieta_termiche_materiali.pdf (21 ottobre 2026). Da usare è questo file. Il calore specifico non era stampato: è ricavato dallo sfasamento a 10 cm.</t>
        </is>
      </c>
      <c r="U79" s="3" t="inlineStr">
        <is>
          <t>Nel prezzario Liguria 2026 non c'è una voce del solo materiale, senza la posa. La cella del prezzo resta vuota.</t>
        </is>
      </c>
      <c r="V79" s="11">
        <f>IF(Q79="€/m³",P79,IF(AND(Q79="€/m²",R79&gt;0),P79/(R79/1000),IF(Q79="€/kg",P79*D79,"")))</f>
        <v/>
      </c>
    </row>
    <row r="80">
      <c r="A80" s="5" t="n">
        <v>79</v>
      </c>
      <c r="B80" s="5" t="inlineStr">
        <is>
          <t>F - Murature</t>
        </is>
      </c>
      <c r="C80" s="5" t="inlineStr">
        <is>
          <t>Muratura in pietra</t>
        </is>
      </c>
      <c r="D80" s="6" t="n">
        <v>2600</v>
      </c>
      <c r="E80" s="7" t="n">
        <v>2.3</v>
      </c>
      <c r="F80" s="8" t="n">
        <v>23</v>
      </c>
      <c r="G80" s="8" t="n">
        <v>0.32</v>
      </c>
      <c r="H80" s="8" t="n">
        <v>3.17</v>
      </c>
      <c r="I80" s="6" t="n">
        <v>840</v>
      </c>
      <c r="O80" s="3" t="inlineStr">
        <is>
          <t>Termici: numeri portati dal PDF archiviato in @ Oldies/proprieta_termiche_materiali.pdf (21 ottobre 2026). Da usare è questo file. Il calore specifico non era stampato: è ricavato dallo sfasamento a 10 cm.</t>
        </is>
      </c>
      <c r="P80" s="9" t="n">
        <v>70.84</v>
      </c>
      <c r="Q80" t="inlineStr">
        <is>
          <t>€/m³</t>
        </is>
      </c>
      <c r="S80" t="inlineStr">
        <is>
          <t>ottobre 2026</t>
        </is>
      </c>
      <c r="T80" s="10" t="inlineStr">
        <is>
          <t>Prezzario Liguria 2026, PR.A01.A10.010</t>
        </is>
      </c>
      <c r="U80" s="3" t="inlineStr">
        <is>
          <t>Pietrame di cava per murature. È la pietra, non il muro già fatto. IVA esclusa. Franco cantiere, senza posa. Nel prezzo del prezzario ci sono anche il 15% di spese generali e il 10% di utile. Listino aggiornato l'11 febbraio 2026, ancora in vigore a ottobre.</t>
        </is>
      </c>
      <c r="V80" s="11">
        <f>IF(Q80="€/m³",P80,IF(AND(Q80="€/m²",R80&gt;0),P80/(R80/1000),IF(Q80="€/kg",P80*D80,"")))</f>
        <v/>
      </c>
    </row>
    <row r="81">
      <c r="A81" s="5" t="n">
        <v>80</v>
      </c>
      <c r="B81" s="5" t="inlineStr">
        <is>
          <t>F - Murature</t>
        </is>
      </c>
      <c r="C81" s="5" t="inlineStr">
        <is>
          <t>Blocchi cellulari autoclavati</t>
        </is>
      </c>
      <c r="D81" s="6" t="n">
        <v>400</v>
      </c>
      <c r="E81" s="7" t="n">
        <v>0.11</v>
      </c>
      <c r="F81" s="8" t="n">
        <v>1.1</v>
      </c>
      <c r="G81" s="8" t="n">
        <v>0.62</v>
      </c>
      <c r="H81" s="8" t="n">
        <v>6.21</v>
      </c>
      <c r="I81" s="6" t="n">
        <v>1000</v>
      </c>
      <c r="O81" s="3" t="inlineStr">
        <is>
          <t>Termici: numeri portati dal PDF archiviato in @ Oldies/proprieta_termiche_materiali.pdf (21 ottobre 2026). Da usare è questo file. Il calore specifico non era stampato: è ricavato dallo sfasamento a 10 cm.</t>
        </is>
      </c>
      <c r="P81" s="9" t="n">
        <v>35.36</v>
      </c>
      <c r="Q81" t="inlineStr">
        <is>
          <t>€/m²</t>
        </is>
      </c>
      <c r="R81" t="n">
        <v>200</v>
      </c>
      <c r="S81" t="inlineStr">
        <is>
          <t>ottobre 2026</t>
        </is>
      </c>
      <c r="T81" s="10" t="inlineStr">
        <is>
          <t>Prezzario Liguria 2026, PR.A11.A20.060</t>
        </is>
      </c>
      <c r="U81" s="3" t="inlineStr">
        <is>
          <t>Calcestruzzo cellulare espanso, spessore 20 cm. IVA esclusa. Franco cantiere, senza posa. Nel prezzo del prezzario ci sono anche il 15% di spese generali e il 10% di utile. Listino aggiornato l'11 febbraio 2026, ancora in vigore a ottobre.</t>
        </is>
      </c>
      <c r="V81" s="11">
        <f>IF(Q81="€/m³",P81,IF(AND(Q81="€/m²",R81&gt;0),P81/(R81/1000),IF(Q81="€/kg",P81*D81,"")))</f>
        <v/>
      </c>
    </row>
    <row r="82">
      <c r="A82" s="5" t="n">
        <v>81</v>
      </c>
      <c r="B82" s="5" t="inlineStr">
        <is>
          <t>F - Murature</t>
        </is>
      </c>
      <c r="C82" s="5" t="inlineStr">
        <is>
          <t>Terra cruda tipo pisé</t>
        </is>
      </c>
      <c r="D82" s="6" t="n">
        <v>2000</v>
      </c>
      <c r="E82" s="7" t="n">
        <v>1</v>
      </c>
      <c r="F82" s="8" t="n">
        <v>10</v>
      </c>
      <c r="G82" s="8" t="n">
        <v>0.46</v>
      </c>
      <c r="H82" s="8" t="n">
        <v>4.61</v>
      </c>
      <c r="I82" s="6" t="n">
        <v>1000</v>
      </c>
      <c r="O82" s="3" t="inlineStr">
        <is>
          <t>Termici: numeri portati dal PDF archiviato in @ Oldies/proprieta_termiche_materiali.pdf (21 ottobre 2026). Da usare è questo file. Il calore specifico non era stampato: è ricavato dallo sfasamento a 10 cm.</t>
        </is>
      </c>
      <c r="U82" s="3" t="inlineStr">
        <is>
          <t>Nel prezzario Liguria 2026 non c'è una voce del solo materiale, senza la posa. La cella del prezzo resta vuota.</t>
        </is>
      </c>
      <c r="V82" s="11">
        <f>IF(Q82="€/m³",P82,IF(AND(Q82="€/m²",R82&gt;0),P82/(R82/1000),IF(Q82="€/kg",P82*D82,"")))</f>
        <v/>
      </c>
    </row>
    <row r="83">
      <c r="A83" s="5" t="n">
        <v>82</v>
      </c>
      <c r="B83" s="5" t="inlineStr">
        <is>
          <t>F - Murature</t>
        </is>
      </c>
      <c r="C83" s="5" t="inlineStr">
        <is>
          <t>Terra cruda alleggerita</t>
        </is>
      </c>
      <c r="D83" s="6" t="n">
        <v>1200</v>
      </c>
      <c r="E83" s="7" t="n">
        <v>0.36</v>
      </c>
      <c r="F83" s="8" t="n">
        <v>3.6</v>
      </c>
      <c r="G83" s="8" t="n">
        <v>0.59</v>
      </c>
      <c r="H83" s="8" t="n">
        <v>5.95</v>
      </c>
      <c r="I83" s="6" t="n">
        <v>1000</v>
      </c>
      <c r="O83" s="3" t="inlineStr">
        <is>
          <t>Termici: numeri portati dal PDF archiviato in @ Oldies/proprieta_termiche_materiali.pdf (21 ottobre 2026). Da usare è questo file. Il calore specifico non era stampato: è ricavato dallo sfasamento a 10 cm.</t>
        </is>
      </c>
      <c r="U83" s="3" t="inlineStr">
        <is>
          <t>Nel prezzario Liguria 2026 non c'è una voce del solo materiale, senza la posa. La cella del prezzo resta vuota.</t>
        </is>
      </c>
      <c r="V83" s="11">
        <f>IF(Q83="€/m³",P83,IF(AND(Q83="€/m²",R83&gt;0),P83/(R83/1000),IF(Q83="€/kg",P83*D83,"")))</f>
        <v/>
      </c>
    </row>
    <row r="84">
      <c r="A84" s="5" t="n">
        <v>83</v>
      </c>
      <c r="B84" s="5" t="inlineStr">
        <is>
          <t>F - Murature</t>
        </is>
      </c>
      <c r="C84" s="5" t="inlineStr">
        <is>
          <t>Cemento armato</t>
        </is>
      </c>
      <c r="D84" s="6" t="n">
        <v>2400</v>
      </c>
      <c r="E84" s="7" t="n">
        <v>2.3</v>
      </c>
      <c r="F84" s="8" t="n">
        <v>23</v>
      </c>
      <c r="G84" s="8" t="n">
        <v>0.33</v>
      </c>
      <c r="H84" s="8" t="n">
        <v>3.33</v>
      </c>
      <c r="I84" s="6" t="n">
        <v>1000</v>
      </c>
      <c r="O84" s="3" t="inlineStr">
        <is>
          <t>Termici: numeri portati dal PDF archiviato in @ Oldies/proprieta_termiche_materiali.pdf (21 ottobre 2026). Da usare è questo file. Il calore specifico non era stampato: è ricavato dallo sfasamento a 10 cm.</t>
        </is>
      </c>
      <c r="U84" s="3" t="inlineStr">
        <is>
          <t>Non si compra da solo. Il calcestruzzo e l'acciaio sono sulle loro righe.</t>
        </is>
      </c>
      <c r="V84" s="11">
        <f>IF(Q84="€/m³",P84,IF(AND(Q84="€/m²",R84&gt;0),P84/(R84/1000),IF(Q84="€/kg",P84*D84,"")))</f>
        <v/>
      </c>
    </row>
    <row r="85">
      <c r="A85" s="5" t="n">
        <v>84</v>
      </c>
      <c r="B85" s="5" t="inlineStr">
        <is>
          <t>F - Murature</t>
        </is>
      </c>
      <c r="C85" s="5" t="inlineStr">
        <is>
          <t>Calcestruzzo</t>
        </is>
      </c>
      <c r="D85" s="6" t="n">
        <v>1800</v>
      </c>
      <c r="E85" s="7" t="n">
        <v>1.6</v>
      </c>
      <c r="F85" s="8" t="n">
        <v>16</v>
      </c>
      <c r="G85" s="8" t="n">
        <v>0.35</v>
      </c>
      <c r="H85" s="8" t="n">
        <v>3.45</v>
      </c>
      <c r="I85" s="6" t="n">
        <v>1000</v>
      </c>
      <c r="O85" s="3" t="inlineStr">
        <is>
          <t>Termici: numeri portati dal PDF archiviato in @ Oldies/proprieta_termiche_materiali.pdf (21 ottobre 2026). Da usare è questo file. Il calore specifico non era stampato: è ricavato dallo sfasamento a 10 cm.</t>
        </is>
      </c>
      <c r="P85" s="9" t="n">
        <v>193.53</v>
      </c>
      <c r="Q85" t="inlineStr">
        <is>
          <t>€/m³</t>
        </is>
      </c>
      <c r="S85" t="inlineStr">
        <is>
          <t>ottobre 2026</t>
        </is>
      </c>
      <c r="T85" s="10" t="inlineStr">
        <is>
          <t>Prezzario Liguria 2026, 20.A20.C02.010</t>
        </is>
      </c>
      <c r="U85" s="3" t="inlineStr">
        <is>
          <t>Calcestruzzo C25/30, classe di esposizione XC2, consistenza S4. La voce ha manodopera zero: è la fornitura, non il getto. IVA esclusa. Franco cantiere, senza posa. Nel prezzo del prezzario ci sono anche il 15% di spese generali e il 10% di utile. Listino aggiornato l'11 febbraio 2026, ancora in vigore a ottobre.</t>
        </is>
      </c>
      <c r="V85" s="11">
        <f>IF(Q85="€/m³",P85,IF(AND(Q85="€/m²",R85&gt;0),P85/(R85/1000),IF(Q85="€/kg",P85*D85,"")))</f>
        <v/>
      </c>
    </row>
    <row r="86">
      <c r="A86" s="5" t="n">
        <v>85</v>
      </c>
      <c r="B86" s="5" t="inlineStr">
        <is>
          <t>F - Murature</t>
        </is>
      </c>
      <c r="C86" s="5" t="inlineStr">
        <is>
          <t>Calcestruzzo alleggerito con argilla espansa</t>
        </is>
      </c>
      <c r="D86" s="6" t="n">
        <v>1100</v>
      </c>
      <c r="E86" s="7" t="n">
        <v>0.45</v>
      </c>
      <c r="F86" s="8" t="n">
        <v>4.5</v>
      </c>
      <c r="G86" s="8" t="n">
        <v>0.51</v>
      </c>
      <c r="H86" s="8" t="n">
        <v>5.09</v>
      </c>
      <c r="I86" s="6" t="n">
        <v>1000</v>
      </c>
      <c r="O86" s="3" t="inlineStr">
        <is>
          <t>Termici: numeri portati dal PDF archiviato in @ Oldies/proprieta_termiche_materiali.pdf (21 ottobre 2026). Da usare è questo file. Il calore specifico non era stampato: è ricavato dallo sfasamento a 10 cm.</t>
        </is>
      </c>
      <c r="P86" s="9" t="n">
        <v>324</v>
      </c>
      <c r="Q86" t="inlineStr">
        <is>
          <t>€/m³</t>
        </is>
      </c>
      <c r="S86" t="inlineStr">
        <is>
          <t>ottobre 2026</t>
        </is>
      </c>
      <c r="T86" s="10" t="inlineStr">
        <is>
          <t>Prezzario Liguria 2026, PR.A02.A22.105</t>
        </is>
      </c>
      <c r="U86" s="3" t="inlineStr">
        <is>
          <t>Sacco da 25 litri a 8,10 euro, densità dichiarata 1400 kg/m³. 8,10 / 0,025 = 324 euro al m³. IVA esclusa. Franco cantiere, senza posa. Nel prezzo del prezzario ci sono anche il 15% di spese generali e il 10% di utile. Listino aggiornato l'11 febbraio 2026, ancora in vigore a ottobre.</t>
        </is>
      </c>
      <c r="V86" s="11">
        <f>IF(Q86="€/m³",P86,IF(AND(Q86="€/m²",R86&gt;0),P86/(R86/1000),IF(Q86="€/kg",P86*D86,"")))</f>
        <v/>
      </c>
    </row>
    <row r="87">
      <c r="A87" s="5" t="n">
        <v>86</v>
      </c>
      <c r="B87" s="5" t="inlineStr">
        <is>
          <t>F - Murature</t>
        </is>
      </c>
      <c r="C87" s="5" t="inlineStr">
        <is>
          <t>Solaio in travetti, blocchi laterizio e caldana</t>
        </is>
      </c>
      <c r="D87" s="6" t="n">
        <v>1400</v>
      </c>
      <c r="E87" s="7" t="n">
        <v>0.8</v>
      </c>
      <c r="F87" s="8" t="n">
        <v>8</v>
      </c>
      <c r="G87" s="8" t="n">
        <v>0.39</v>
      </c>
      <c r="H87" s="8" t="n">
        <v>3.95</v>
      </c>
      <c r="I87" s="6" t="n">
        <v>840</v>
      </c>
      <c r="O87" s="3" t="inlineStr">
        <is>
          <t>Termici: numeri portati dal PDF archiviato in @ Oldies/proprieta_termiche_materiali.pdf (21 ottobre 2026). Da usare è questo file. Il calore specifico non era stampato: è ricavato dallo sfasamento a 10 cm.</t>
        </is>
      </c>
      <c r="P87" s="9" t="n">
        <v>10.83</v>
      </c>
      <c r="Q87" t="inlineStr">
        <is>
          <t>€/m²</t>
        </is>
      </c>
      <c r="R87" t="n">
        <v>120</v>
      </c>
      <c r="S87" t="inlineStr">
        <is>
          <t>ottobre 2026</t>
        </is>
      </c>
      <c r="T87" s="10" t="inlineStr">
        <is>
          <t>Prezzario Liguria 2026, PR.A04.A50.010</t>
        </is>
      </c>
      <c r="U87" s="3" t="inlineStr">
        <is>
          <t>Solo le volterrane da 12 cm, non il solaio finito con travetti e caldana. IVA esclusa. Franco cantiere, senza posa. Nel prezzo del prezzario ci sono anche il 15% di spese generali e il 10% di utile. Listino aggiornato l'11 febbraio 2026, ancora in vigore a ottobre.</t>
        </is>
      </c>
      <c r="V87" s="11">
        <f>IF(Q87="€/m³",P87,IF(AND(Q87="€/m²",R87&gt;0),P87/(R87/1000),IF(Q87="€/kg",P87*D87,"")))</f>
        <v/>
      </c>
    </row>
    <row r="88">
      <c r="A88" s="5" t="n">
        <v>87</v>
      </c>
      <c r="B88" s="5" t="inlineStr">
        <is>
          <t>G - Isolanti sfusi</t>
        </is>
      </c>
      <c r="C88" s="5" t="inlineStr">
        <is>
          <t>Perlite espansa sfusa</t>
        </is>
      </c>
      <c r="D88" s="6" t="n">
        <v>90</v>
      </c>
      <c r="E88" s="7" t="n">
        <v>0.05</v>
      </c>
      <c r="F88" s="8" t="n">
        <v>0.5</v>
      </c>
      <c r="G88" s="8" t="n">
        <v>0.44</v>
      </c>
      <c r="H88" s="8" t="n">
        <v>4.37</v>
      </c>
      <c r="I88" s="6" t="n">
        <v>1000</v>
      </c>
      <c r="O88" s="3" t="inlineStr">
        <is>
          <t>Termici: numeri portati dal PDF archiviato in @ Oldies/proprieta_termiche_materiali.pdf (21 ottobre 2026). Da usare è questo file. Il calore specifico non era stampato: è ricavato dallo sfasamento a 10 cm.</t>
        </is>
      </c>
      <c r="U88" s="3" t="inlineStr">
        <is>
          <t>Nel prezzario Liguria 2026 non c'è una voce del solo materiale, senza la posa. La cella del prezzo resta vuota.</t>
        </is>
      </c>
      <c r="V88" s="11">
        <f>IF(Q88="€/m³",P88,IF(AND(Q88="€/m²",R88&gt;0),P88/(R88/1000),IF(Q88="€/kg",P88*D88,"")))</f>
        <v/>
      </c>
    </row>
    <row r="89">
      <c r="A89" s="5" t="n">
        <v>88</v>
      </c>
      <c r="B89" s="5" t="inlineStr">
        <is>
          <t>G - Isolanti sfusi</t>
        </is>
      </c>
      <c r="C89" s="5" t="inlineStr">
        <is>
          <t>Vermiculite espansa sfusa</t>
        </is>
      </c>
      <c r="D89" s="6" t="n">
        <v>90</v>
      </c>
      <c r="E89" s="7" t="n">
        <v>0.07000000000000001</v>
      </c>
      <c r="F89" s="8" t="n">
        <v>0.7</v>
      </c>
      <c r="G89" s="8" t="n">
        <v>0.38</v>
      </c>
      <c r="H89" s="8" t="n">
        <v>3.84</v>
      </c>
      <c r="I89" s="6" t="n">
        <v>1080</v>
      </c>
      <c r="O89" s="3" t="inlineStr">
        <is>
          <t>Termici: numeri portati dal PDF archiviato in @ Oldies/proprieta_termiche_materiali.pdf (21 ottobre 2026). Da usare è questo file. Il calore specifico non era stampato: è ricavato dallo sfasamento a 10 cm.</t>
        </is>
      </c>
      <c r="U89" s="3" t="inlineStr">
        <is>
          <t>Nel prezzario Liguria 2026 non c'è una voce del solo materiale, senza la posa. La cella del prezzo resta vuota.</t>
        </is>
      </c>
      <c r="V89" s="11">
        <f>IF(Q89="€/m³",P89,IF(AND(Q89="€/m²",R89&gt;0),P89/(R89/1000),IF(Q89="€/kg",P89*D89,"")))</f>
        <v/>
      </c>
    </row>
    <row r="90">
      <c r="A90" s="5" t="n">
        <v>89</v>
      </c>
      <c r="B90" s="5" t="inlineStr">
        <is>
          <t>G - Isolanti sfusi</t>
        </is>
      </c>
      <c r="C90" s="5" t="inlineStr">
        <is>
          <t>Argilla espansa sfusa</t>
        </is>
      </c>
      <c r="D90" s="6" t="n">
        <v>350</v>
      </c>
      <c r="E90" s="7" t="n">
        <v>0.09</v>
      </c>
      <c r="F90" s="8" t="n">
        <v>0.9</v>
      </c>
      <c r="G90" s="8" t="n">
        <v>0.64</v>
      </c>
      <c r="H90" s="8" t="n">
        <v>6.42</v>
      </c>
      <c r="I90" s="6" t="n">
        <v>1000</v>
      </c>
      <c r="O90" s="3" t="inlineStr">
        <is>
          <t>Termici: numeri portati dal PDF archiviato in @ Oldies/proprieta_termiche_materiali.pdf (21 ottobre 2026). Da usare è questo file. Il calore specifico non era stampato: è ricavato dallo sfasamento a 10 cm.</t>
        </is>
      </c>
      <c r="P90" s="9" t="n">
        <v>162.39</v>
      </c>
      <c r="Q90" t="inlineStr">
        <is>
          <t>€/m³</t>
        </is>
      </c>
      <c r="S90" t="inlineStr">
        <is>
          <t>ottobre 2026</t>
        </is>
      </c>
      <c r="T90" s="10" t="inlineStr">
        <is>
          <t>Prezzario Liguria 2026, PR.A17.P01.010</t>
        </is>
      </c>
      <c r="U90" s="3" t="inlineStr">
        <is>
          <t>Stessa voce dei granuli di argilla espansa, densità dichiarata 320 kg/m³. IVA esclusa. Franco cantiere, senza posa. Nel prezzo del prezzario ci sono anche il 15% di spese generali e il 10% di utile. Listino aggiornato l'11 febbraio 2026, ancora in vigore a ottobre.</t>
        </is>
      </c>
      <c r="V90" s="11">
        <f>IF(Q90="€/m³",P90,IF(AND(Q90="€/m²",R90&gt;0),P90/(R90/1000),IF(Q90="€/kg",P90*D90,"")))</f>
        <v/>
      </c>
    </row>
    <row r="91">
      <c r="A91" s="5" t="n">
        <v>90</v>
      </c>
      <c r="B91" s="5" t="inlineStr">
        <is>
          <t>G - Isolanti sfusi</t>
        </is>
      </c>
      <c r="C91" s="5" t="inlineStr">
        <is>
          <t>Sughero granulare espanso</t>
        </is>
      </c>
      <c r="D91" s="6" t="n">
        <v>90</v>
      </c>
      <c r="E91" s="7" t="n">
        <v>0.042</v>
      </c>
      <c r="F91" s="8" t="n">
        <v>0.42</v>
      </c>
      <c r="G91" s="8" t="n">
        <v>0.6</v>
      </c>
      <c r="H91" s="8" t="n">
        <v>6.03</v>
      </c>
      <c r="I91" s="6" t="n">
        <v>1600</v>
      </c>
      <c r="O91" s="3" t="inlineStr">
        <is>
          <t>Termici: numeri portati dal PDF archiviato in @ Oldies/proprieta_termiche_materiali.pdf (21 ottobre 2026). Da usare è questo file. Il calore specifico non era stampato: è ricavato dallo sfasamento a 10 cm.</t>
        </is>
      </c>
      <c r="U91" s="3" t="inlineStr">
        <is>
          <t>Nel prezzario Liguria 2026 non c'è una voce del solo materiale, senza la posa. La cella del prezzo resta vuota.</t>
        </is>
      </c>
      <c r="V91" s="11">
        <f>IF(Q91="€/m³",P91,IF(AND(Q91="€/m²",R91&gt;0),P91/(R91/1000),IF(Q91="€/kg",P91*D91,"")))</f>
        <v/>
      </c>
    </row>
    <row r="92">
      <c r="A92" s="5" t="n">
        <v>91</v>
      </c>
      <c r="B92" s="5" t="inlineStr">
        <is>
          <t>G - Isolanti sfusi</t>
        </is>
      </c>
      <c r="C92" s="5" t="inlineStr">
        <is>
          <t>Sughero granulare naturale</t>
        </is>
      </c>
      <c r="D92" s="6" t="n">
        <v>100</v>
      </c>
      <c r="E92" s="7" t="n">
        <v>0.05</v>
      </c>
      <c r="F92" s="8" t="n">
        <v>0.5</v>
      </c>
      <c r="G92" s="8" t="n">
        <v>0.58</v>
      </c>
      <c r="H92" s="8" t="n">
        <v>5.83</v>
      </c>
      <c r="I92" s="6" t="n">
        <v>1600</v>
      </c>
      <c r="O92" s="3" t="inlineStr">
        <is>
          <t>Termici: numeri portati dal PDF archiviato in @ Oldies/proprieta_termiche_materiali.pdf (21 ottobre 2026). Da usare è questo file. Il calore specifico non era stampato: è ricavato dallo sfasamento a 10 cm.</t>
        </is>
      </c>
      <c r="U92" s="3" t="inlineStr">
        <is>
          <t>Nel prezzario Liguria 2026 non c'è una voce del solo materiale, senza la posa. La cella del prezzo resta vuota.</t>
        </is>
      </c>
      <c r="V92" s="11">
        <f>IF(Q92="€/m³",P92,IF(AND(Q92="€/m²",R92&gt;0),P92/(R92/1000),IF(Q92="€/kg",P92*D92,"")))</f>
        <v/>
      </c>
    </row>
    <row r="93">
      <c r="A93" s="5" t="n">
        <v>92</v>
      </c>
      <c r="B93" s="5" t="inlineStr">
        <is>
          <t>G - Isolanti sfusi</t>
        </is>
      </c>
      <c r="C93" s="5" t="inlineStr">
        <is>
          <t>Fiocchi di cellulosa sfusi</t>
        </is>
      </c>
      <c r="D93" s="6" t="n">
        <v>35</v>
      </c>
      <c r="E93" s="7" t="n">
        <v>0.04</v>
      </c>
      <c r="F93" s="8" t="n">
        <v>0.4</v>
      </c>
      <c r="G93" s="8" t="n">
        <v>0.43</v>
      </c>
      <c r="H93" s="8" t="n">
        <v>4.31</v>
      </c>
      <c r="I93" s="6" t="n">
        <v>2000</v>
      </c>
      <c r="O93" s="3" t="inlineStr">
        <is>
          <t>Termici: numeri portati dal PDF archiviato in @ Oldies/proprieta_termiche_materiali.pdf (21 ottobre 2026). Da usare è questo file. Il calore specifico non era stampato: è ricavato dallo sfasamento a 10 cm.</t>
        </is>
      </c>
      <c r="U93" s="3" t="inlineStr">
        <is>
          <t>Nel prezzario Liguria 2026 non c'è una voce del solo materiale, senza la posa. La cella del prezzo resta vuota.</t>
        </is>
      </c>
      <c r="V93" s="11">
        <f>IF(Q93="€/m³",P93,IF(AND(Q93="€/m²",R93&gt;0),P93/(R93/1000),IF(Q93="€/kg",P93*D93,"")))</f>
        <v/>
      </c>
    </row>
    <row r="94">
      <c r="A94" s="5" t="n">
        <v>93</v>
      </c>
      <c r="B94" s="5" t="inlineStr">
        <is>
          <t>G - Isolanti sfusi</t>
        </is>
      </c>
      <c r="C94" s="5" t="inlineStr">
        <is>
          <t>Polistirolo espanso sfuso</t>
        </is>
      </c>
      <c r="D94" s="6" t="n">
        <v>10</v>
      </c>
      <c r="E94" s="7" t="n">
        <v>0.044</v>
      </c>
      <c r="F94" s="8" t="n">
        <v>0.44</v>
      </c>
      <c r="G94" s="8" t="n">
        <v>0.19</v>
      </c>
      <c r="H94" s="8" t="n">
        <v>1.87</v>
      </c>
      <c r="I94" s="6" t="n">
        <v>1450</v>
      </c>
      <c r="O94" s="3" t="inlineStr">
        <is>
          <t>Termici: numeri portati dal PDF archiviato in @ Oldies/proprieta_termiche_materiali.pdf (21 ottobre 2026). Da usare è questo file. Il calore specifico non era stampato: è ricavato dallo sfasamento a 10 cm.</t>
        </is>
      </c>
      <c r="U94" s="3" t="inlineStr">
        <is>
          <t>Nel prezzario Liguria 2026 non c'è una voce del solo materiale, senza la posa. La cella del prezzo resta vuota.</t>
        </is>
      </c>
      <c r="V94" s="11">
        <f>IF(Q94="€/m³",P94,IF(AND(Q94="€/m²",R94&gt;0),P94/(R94/1000),IF(Q94="€/kg",P94*D94,"")))</f>
        <v/>
      </c>
    </row>
    <row r="95">
      <c r="A95" s="5" t="n">
        <v>94</v>
      </c>
      <c r="B95" s="5" t="inlineStr">
        <is>
          <t>G - Isolanti sfusi</t>
        </is>
      </c>
      <c r="C95" s="5" t="inlineStr">
        <is>
          <t>Lana minerale sfusa</t>
        </is>
      </c>
      <c r="D95" s="6" t="n">
        <v>15</v>
      </c>
      <c r="E95" s="7" t="n">
        <v>0.044</v>
      </c>
      <c r="F95" s="8" t="n">
        <v>0.44</v>
      </c>
      <c r="G95" s="8" t="n">
        <v>0.19</v>
      </c>
      <c r="H95" s="8" t="n">
        <v>1.93</v>
      </c>
      <c r="I95" s="6" t="n">
        <v>1030</v>
      </c>
      <c r="O95" s="3" t="inlineStr">
        <is>
          <t>Termici: numeri portati dal PDF archiviato in @ Oldies/proprieta_termiche_materiali.pdf (21 ottobre 2026). Da usare è questo file. Il calore specifico non era stampato: è ricavato dallo sfasamento a 10 cm.</t>
        </is>
      </c>
      <c r="U95" s="3" t="inlineStr">
        <is>
          <t>Nel prezzario Liguria 2026 non c'è una voce del solo materiale, senza la posa. La cella del prezzo resta vuota.</t>
        </is>
      </c>
      <c r="V95" s="11">
        <f>IF(Q95="€/m³",P95,IF(AND(Q95="€/m²",R95&gt;0),P95/(R95/1000),IF(Q95="€/kg",P95*D95,"")))</f>
        <v/>
      </c>
    </row>
    <row r="96">
      <c r="A96" s="5" t="n">
        <v>95</v>
      </c>
      <c r="B96" s="5" t="inlineStr">
        <is>
          <t>G - Isolanti sfusi</t>
        </is>
      </c>
      <c r="C96" s="5" t="inlineStr">
        <is>
          <t>Segatura di legno</t>
        </is>
      </c>
      <c r="D96" s="6" t="n">
        <v>200</v>
      </c>
      <c r="E96" s="7" t="n">
        <v>0.1</v>
      </c>
      <c r="F96" s="8" t="n">
        <v>1</v>
      </c>
      <c r="G96" s="8" t="n">
        <v>0.67</v>
      </c>
      <c r="H96" s="8" t="n">
        <v>6.68</v>
      </c>
      <c r="I96" s="6" t="n">
        <v>2100</v>
      </c>
      <c r="O96" s="3" t="inlineStr">
        <is>
          <t>Termici: numeri portati dal PDF archiviato in @ Oldies/proprieta_termiche_materiali.pdf (21 ottobre 2026). Da usare è questo file. Il calore specifico non era stampato: è ricavato dallo sfasamento a 10 cm.</t>
        </is>
      </c>
      <c r="U96" s="3" t="inlineStr">
        <is>
          <t>Nel prezzario Liguria 2026 non c'è una voce del solo materiale, senza la posa. La cella del prezzo resta vuota.</t>
        </is>
      </c>
      <c r="V96" s="11">
        <f>IF(Q96="€/m³",P96,IF(AND(Q96="€/m²",R96&gt;0),P96/(R96/1000),IF(Q96="€/kg",P96*D96,"")))</f>
        <v/>
      </c>
    </row>
    <row r="97">
      <c r="A97" s="5" t="n">
        <v>96</v>
      </c>
      <c r="B97" s="5" t="inlineStr">
        <is>
          <t>G - Isolanti sfusi</t>
        </is>
      </c>
      <c r="C97" s="5" t="inlineStr">
        <is>
          <t>Scorie da altoforno</t>
        </is>
      </c>
      <c r="D97" s="6" t="n">
        <v>750</v>
      </c>
      <c r="E97" s="7" t="n">
        <v>0.35</v>
      </c>
      <c r="F97" s="8" t="n">
        <v>3.5</v>
      </c>
      <c r="G97" s="8" t="n">
        <v>0.43</v>
      </c>
      <c r="H97" s="8" t="n">
        <v>4.26</v>
      </c>
      <c r="I97" s="6" t="n">
        <v>800</v>
      </c>
      <c r="O97" s="3" t="inlineStr">
        <is>
          <t>Termici: numeri portati dal PDF archiviato in @ Oldies/proprieta_termiche_materiali.pdf (21 ottobre 2026). Da usare è questo file. Il calore specifico non era stampato: è ricavato dallo sfasamento a 10 cm.</t>
        </is>
      </c>
      <c r="U97" s="3" t="inlineStr">
        <is>
          <t>Nel prezzario Liguria 2026 non c'è una voce del solo materiale, senza la posa. La cella del prezzo resta vuota.</t>
        </is>
      </c>
      <c r="V97" s="11">
        <f>IF(Q97="€/m³",P97,IF(AND(Q97="€/m²",R97&gt;0),P97/(R97/1000),IF(Q97="€/kg",P97*D97,"")))</f>
        <v/>
      </c>
    </row>
    <row r="98">
      <c r="A98" t="n">
        <v>97</v>
      </c>
      <c r="B98" t="inlineStr">
        <is>
          <t>H - Legno da cantiere</t>
        </is>
      </c>
      <c r="C98" t="inlineStr">
        <is>
          <t>Abete o pino da costruzione, classe C24 (tavole e morali)</t>
        </is>
      </c>
      <c r="D98" s="11" t="n">
        <v>420</v>
      </c>
      <c r="E98" s="12" t="n">
        <v>0.13</v>
      </c>
      <c r="F98" s="9" t="n">
        <v>1.3</v>
      </c>
      <c r="G98" s="9" t="n">
        <v>0.74</v>
      </c>
      <c r="H98" s="9" t="n">
        <v>7.41</v>
      </c>
      <c r="I98" s="11" t="n">
        <v>1600</v>
      </c>
      <c r="J98" t="n">
        <v>11000</v>
      </c>
      <c r="K98" t="n">
        <v>24</v>
      </c>
      <c r="L98" t="n">
        <v>21</v>
      </c>
      <c r="M98" t="n">
        <v>14.5</v>
      </c>
      <c r="N98" t="n">
        <v>4</v>
      </c>
      <c r="O98" s="3" t="inlineStr">
        <is>
          <t>Statica: UNI EN 338:2016, classe C24 per le conifere. Modulo medio lungo la fibra 11000 MPa, fm,k 24, fc,0,k 21, ft,0,k 14,5, fv,k 4, massa media 420 kg/m³. Il prontuario NTC 2018 riporta questa tabella. Termici: lambda della riga «Legno di conifere (trasversale)»; lo sfasamento è ricalcolato con la massa 420 e con il calore specifico di quella riga.</t>
        </is>
      </c>
      <c r="P98" s="9" t="n">
        <v>661.38</v>
      </c>
      <c r="Q98" t="inlineStr">
        <is>
          <t>€/m³</t>
        </is>
      </c>
      <c r="S98" t="inlineStr">
        <is>
          <t>ottobre 2026</t>
        </is>
      </c>
      <c r="T98" s="10" t="inlineStr">
        <is>
          <t>Prezzario Liguria 2026, PR.A08.A20.010</t>
        </is>
      </c>
      <c r="U98" s="3" t="inlineStr">
        <is>
          <t>Travi di abete a quattro fili, la voce di legno da struttura. La voce non scrive «C24»: è l'abete da costruzione del listino, e le resistenze sono quelle della classe C24, che è quella solita per questo legno. Tavole di abete di prima scelta: 960,55 euro/m³ (PR.A08.A20.020). Pino di Svezia di prima scelta: 919,02 euro/m³ (PR.A08.A20.030). IVA esclusa. Franco cantiere, senza posa. Nel prezzo del prezzario ci sono anche il 15% di spese generali e il 10% di utile. Listino aggiornato l'11 febbraio 2026, ancora in vigore a ottobre. Controllo del 25 ottobre 2026: il numero in cella resta quello del prezzario. Brico Legno Store, trave uso fiume 130×130×4000 mm a 55,95 euro, cioè 828 euro al m³ (55,95 diviso 0,13×0,13×4); la 110×110×4000 a 40,06 euro dà lo stesso 828. Sulla scheda non è scritto se l'IVA è compresa, e non è abete C24 a spigolo vivo. Prezzario di Mantova, primo semestre 2026: tavole di abete a quattro fili vivi, seconda scelta, 500 euro al m³; con smusso, 450. Sono tavole da opera, non travi da struttura.</t>
        </is>
      </c>
      <c r="V98" s="9">
        <f>IF(Q98="€/m³",P98,IF(AND(Q98="€/m²",R98&gt;0),P98/(R98/1000),IF(Q98="€/kg",P98*D98,"")))</f>
        <v/>
      </c>
    </row>
    <row r="99">
      <c r="A99" t="n">
        <v>98</v>
      </c>
      <c r="B99" t="inlineStr">
        <is>
          <t>H - Legno da cantiere</t>
        </is>
      </c>
      <c r="C99" t="inlineStr">
        <is>
          <t>Perline di abete per interno, piallate e maschiate</t>
        </is>
      </c>
      <c r="D99" s="11" t="n">
        <v>500</v>
      </c>
      <c r="E99" s="12" t="n">
        <v>0.13</v>
      </c>
      <c r="F99" s="9" t="n">
        <v>1.3</v>
      </c>
      <c r="G99" s="9" t="n">
        <v>0.8100000000000001</v>
      </c>
      <c r="H99" s="9" t="n">
        <v>8.08</v>
      </c>
      <c r="I99" s="11" t="n">
        <v>1600</v>
      </c>
      <c r="O99" s="3" t="inlineStr">
        <is>
          <t>Nessuna classe di resistenza: è un rivestimento, non il telaio. I numeri termici sono quelli della riga «Legno di conifere (trasversale)» di questo foglio.</t>
        </is>
      </c>
      <c r="P99" s="9" t="n">
        <v>12.78</v>
      </c>
      <c r="Q99" t="inlineStr">
        <is>
          <t>€/m²</t>
        </is>
      </c>
      <c r="R99" t="n">
        <v>14</v>
      </c>
      <c r="S99" t="inlineStr">
        <is>
          <t>ottobre 2026</t>
        </is>
      </c>
      <c r="T99" s="10" t="inlineStr">
        <is>
          <t>Pellet Legnami, perline abete 14 mm</t>
        </is>
      </c>
      <c r="U99" s="3" t="inlineStr">
        <is>
          <t>IVA inclusa, a differenza del prezzario. Spessore 14 mm, qualità AB, abete, piallate e maschiate. Nel prezzario Liguria 2026 non c'è una voce di perline. A metro cubo, IVA compresa, vengono circa 913 euro: più delle travi da struttura. Controllo del 25 ottobre 2026: sul sito di Pellet Legnami il prezzo è ancora 12,78. Un secondo negozio con abete da 14 mm, qualità AB, non è uscito. Vicini di prezzo: Pellet, pino da 14 mm qualità B, 10,80 euro al m² IVA inclusa; Tecnomat, perlina di abete grezza da 10 mm, prima scelta 10,78 e seconda scelta 8,50 euro al m².</t>
        </is>
      </c>
      <c r="V99" s="9">
        <f>IF(Q99="€/m³",P99,IF(AND(Q99="€/m²",R99&gt;0),P99/(R99/1000),IF(Q99="€/kg",P99*D99,"")))</f>
        <v/>
      </c>
    </row>
    <row r="100">
      <c r="A100" t="n">
        <v>99</v>
      </c>
      <c r="B100" t="inlineStr">
        <is>
          <t>H - Legno da cantiere</t>
        </is>
      </c>
      <c r="C100" t="inlineStr">
        <is>
          <t>Tavole di abete grezze per rivestimento esterno</t>
        </is>
      </c>
      <c r="D100" s="11" t="n">
        <v>500</v>
      </c>
      <c r="E100" s="12" t="n">
        <v>0.13</v>
      </c>
      <c r="F100" s="9" t="n">
        <v>1.3</v>
      </c>
      <c r="G100" s="9" t="n">
        <v>0.8100000000000001</v>
      </c>
      <c r="H100" s="9" t="n">
        <v>8.08</v>
      </c>
      <c r="I100" s="11" t="n">
        <v>1600</v>
      </c>
      <c r="O100" s="3" t="inlineStr">
        <is>
          <t>Nessuna classe di resistenza: è un rivestimento, non il telaio. I numeri termici sono quelli della riga «Legno di conifere (trasversale)» di questo foglio.</t>
        </is>
      </c>
      <c r="P100" s="9" t="n">
        <v>11.9</v>
      </c>
      <c r="Q100" t="inlineStr">
        <is>
          <t>€/m²</t>
        </is>
      </c>
      <c r="R100" t="n">
        <v>20</v>
      </c>
      <c r="S100" t="inlineStr">
        <is>
          <t>ottobre 2026</t>
        </is>
      </c>
      <c r="T100" s="10" t="inlineStr">
        <is>
          <t>Tecnomat, listone abete grezzo 20 mm</t>
        </is>
      </c>
      <c r="U100" s="3" t="inlineStr">
        <is>
          <t>Listone grezzo di prima scelta, spessore 20 mm, non piallato come la perlina da interno. Prezzo visto sul sito il 22 ottobre 2026; l'IVA sul sito va ricontrollata al momento dell'acquisto. A metro cubo vengono 595 euro: meno della perlina rifinita e anche meno delle travi da struttura, perché è legno meno lavorato. Controllo del 25 ottobre 2026: Tecnomat ha ancora questo listone, codice 25079765, a 11,90 euro al m²; la seconda scelta da 20 mm è a 10,90. Perline maschiate, che sono un altro prodotto: Pellet Legnami, abete 20 mm, qualità BC 12,85 euro al m² e qualità AB fra 15,96 e 16,20; Berardengo Legnami, perline di abete grezze da 20 mm, 17,25 euro al m², IVA esclusa.</t>
        </is>
      </c>
      <c r="V100" s="9">
        <f>IF(Q100="€/m³",P100,IF(AND(Q100="€/m²",R100&gt;0),P100/(R100/1000),IF(Q100="€/kg",P100*D100,"")))</f>
        <v/>
      </c>
    </row>
    <row r="101">
      <c r="A101" t="n">
        <v>100</v>
      </c>
      <c r="B101" t="inlineStr">
        <is>
          <t>C - Materie prime</t>
        </is>
      </c>
      <c r="C101" t="inlineStr">
        <is>
          <t>Tegole bituminose (canadesi)</t>
        </is>
      </c>
      <c r="D101" s="11" t="n">
        <v>3130</v>
      </c>
      <c r="E101" s="12" t="n"/>
      <c r="F101" s="9" t="n"/>
      <c r="G101" s="9" t="n"/>
      <c r="H101" s="9" t="n"/>
      <c r="I101" s="11" t="n"/>
      <c r="O101" s="3" t="inlineStr">
        <is>
          <t>Non viene dal PDF termico. Peso della scheda Eco Roof: 9,4 kg/m² su 3 mm, cioè circa 3130 kg/m³. La lambda non è sulla scheda, le altre colonne termiche restano vuote.</t>
        </is>
      </c>
      <c r="P101" s="9" t="n">
        <v>10.74</v>
      </c>
      <c r="Q101" t="inlineStr">
        <is>
          <t>€/m²</t>
        </is>
      </c>
      <c r="R101" t="n">
        <v>3</v>
      </c>
      <c r="S101" t="inlineStr">
        <is>
          <t>ottobre 2026</t>
        </is>
      </c>
      <c r="T101" s="16" t="inlineStr">
        <is>
          <t>Bricolamer, Eco Roof, 3 mm</t>
        </is>
      </c>
      <c r="U101" s="3" t="inlineStr">
        <is>
          <t>In cella il prezzo letto senza ambiguità. Bricolamer, tegola canadese Eco Roof rettangolare: pacco da 2,32 m² a 24,90 euro, tasse incluse, cioè 10,74 euro al m². Spessore 3 mm, peso 9,4 kg/m². Edilmacotek, Covergen Classic verde: 12,51 euro IVA inclusa, con l'unità di misura scritta al m² (il pacco è 2,32 m²; se 12,51 fosse il pacco e non il metro, verrebbe 5,39, fuori dagli altri due). Marra Edile, quadre color ardesia: pacco da 2,32 m² a 31,90 euro, cioè 13,75 al m²; sulla scheda l'IVA non è scritta. Solo le tegole, senza posa e senza chiodi. La membrana bituminosa resta sulla sua riga.</t>
        </is>
      </c>
      <c r="V101" s="9">
        <f>IF(Q101="€/m³",P101,IF(AND(Q101="€/m²",R101&gt;0),P101/(R101/1000),IF(Q101="€/kg",P101*D101,"")))</f>
        <v/>
      </c>
    </row>
    <row r="102">
      <c r="A102" t="n">
        <v>101</v>
      </c>
      <c r="B102" t="inlineStr">
        <is>
          <t>C - Materie prime</t>
        </is>
      </c>
      <c r="C102" t="inlineStr">
        <is>
          <t>Vetrocamera da copertura, luci maggiori</t>
        </is>
      </c>
      <c r="D102" s="11" t="n"/>
      <c r="E102" s="12" t="n"/>
      <c r="F102" s="9" t="n"/>
      <c r="G102" s="9" t="n"/>
      <c r="H102" s="9" t="n"/>
      <c r="I102" s="11" t="n"/>
      <c r="O102" s="3" t="inlineStr">
        <is>
          <t>Non è una riga del PDF termico. È la vetrocamera più grossa, per una faccia più larga della stella. Densità e lambda non ci sono: il pacchetto è pieno d'aria, e il prezzo è al metro quadro.</t>
        </is>
      </c>
      <c r="P102" s="9" t="n">
        <v>150</v>
      </c>
      <c r="Q102" t="inlineStr">
        <is>
          <t>€/m²</t>
        </is>
      </c>
      <c r="S102" t="inlineStr">
        <is>
          <t>ottobre 2026</t>
        </is>
      </c>
      <c r="T102" s="16" t="inlineStr">
        <is>
          <t>Cifra tipica, vetrocamera per luci verso 1 m</t>
        </is>
      </c>
      <c r="U102" s="3" t="inlineStr">
        <is>
          <t>Serve solo se la faccia è più grande della stella e abbastanza sdraiata da tenere la neve: luce fra i bordi verso 90 cm–1 m. Con la neve di Neirone paese, a quella luce il 44.2 non basta. Pacchetto tipico: esterno da 8 mm, camera, interno 55.2 o 66.2 (due lastre da 5 o da 6 mm). Cifra tipica 150 euro al m² di fornitura, un gradino sopra la voce Vetroexpert 10/11+15+10/11, argon, basso emissivo, a 144 euro al m². Non è il listino di questo preciso pacchetto. I rombi grossi del preset, circa 1 m di luce, sono a 60°: lì la neve di norma scivola, e questa riga non serve. Senza posa e senza telaio. Lo spessore è vuoto, come sull'altra vetrocamera.</t>
        </is>
      </c>
      <c r="V102" s="9">
        <f>IF(Q102="€/m³",P102,IF(AND(Q102="€/m²",R102&gt;0),P102/(R102/1000),IF(Q102="€/kg",P102*D102,"")))</f>
        <v/>
      </c>
    </row>
  </sheetData>
  <autoFilter ref="A1:V100"/>
  <hyperlinks>
    <hyperlink xmlns:r="http://schemas.openxmlformats.org/officeDocument/2006/relationships" ref="T2" r:id="rId1"/>
    <hyperlink xmlns:r="http://schemas.openxmlformats.org/officeDocument/2006/relationships" ref="T7" r:id="rId2"/>
    <hyperlink xmlns:r="http://schemas.openxmlformats.org/officeDocument/2006/relationships" ref="T8" r:id="rId3"/>
    <hyperlink xmlns:r="http://schemas.openxmlformats.org/officeDocument/2006/relationships" ref="T10" r:id="rId4"/>
    <hyperlink xmlns:r="http://schemas.openxmlformats.org/officeDocument/2006/relationships" ref="T12" r:id="rId5"/>
    <hyperlink xmlns:r="http://schemas.openxmlformats.org/officeDocument/2006/relationships" ref="T17" r:id="rId6"/>
    <hyperlink xmlns:r="http://schemas.openxmlformats.org/officeDocument/2006/relationships" ref="T19" r:id="rId7"/>
    <hyperlink xmlns:r="http://schemas.openxmlformats.org/officeDocument/2006/relationships" ref="T20" r:id="rId8"/>
    <hyperlink xmlns:r="http://schemas.openxmlformats.org/officeDocument/2006/relationships" ref="T22" r:id="rId9"/>
    <hyperlink xmlns:r="http://schemas.openxmlformats.org/officeDocument/2006/relationships" ref="T23" r:id="rId10"/>
    <hyperlink xmlns:r="http://schemas.openxmlformats.org/officeDocument/2006/relationships" ref="T25" r:id="rId11"/>
    <hyperlink xmlns:r="http://schemas.openxmlformats.org/officeDocument/2006/relationships" ref="T27" r:id="rId12"/>
    <hyperlink xmlns:r="http://schemas.openxmlformats.org/officeDocument/2006/relationships" ref="T28" r:id="rId13"/>
    <hyperlink xmlns:r="http://schemas.openxmlformats.org/officeDocument/2006/relationships" ref="T31" r:id="rId14"/>
    <hyperlink xmlns:r="http://schemas.openxmlformats.org/officeDocument/2006/relationships" ref="T32" r:id="rId15"/>
    <hyperlink xmlns:r="http://schemas.openxmlformats.org/officeDocument/2006/relationships" ref="T34" r:id="rId16"/>
    <hyperlink xmlns:r="http://schemas.openxmlformats.org/officeDocument/2006/relationships" ref="T36" r:id="rId17"/>
    <hyperlink xmlns:r="http://schemas.openxmlformats.org/officeDocument/2006/relationships" ref="T37" r:id="rId18"/>
    <hyperlink xmlns:r="http://schemas.openxmlformats.org/officeDocument/2006/relationships" ref="T38" r:id="rId19"/>
    <hyperlink xmlns:r="http://schemas.openxmlformats.org/officeDocument/2006/relationships" ref="T39" r:id="rId20"/>
    <hyperlink xmlns:r="http://schemas.openxmlformats.org/officeDocument/2006/relationships" ref="T43" r:id="rId21"/>
    <hyperlink xmlns:r="http://schemas.openxmlformats.org/officeDocument/2006/relationships" ref="T44" r:id="rId22"/>
    <hyperlink xmlns:r="http://schemas.openxmlformats.org/officeDocument/2006/relationships" ref="T45" r:id="rId23"/>
    <hyperlink xmlns:r="http://schemas.openxmlformats.org/officeDocument/2006/relationships" ref="T46" r:id="rId24"/>
    <hyperlink xmlns:r="http://schemas.openxmlformats.org/officeDocument/2006/relationships" ref="T48" r:id="rId25"/>
    <hyperlink xmlns:r="http://schemas.openxmlformats.org/officeDocument/2006/relationships" ref="T52" r:id="rId26"/>
    <hyperlink xmlns:r="http://schemas.openxmlformats.org/officeDocument/2006/relationships" ref="T56" r:id="rId27"/>
    <hyperlink xmlns:r="http://schemas.openxmlformats.org/officeDocument/2006/relationships" ref="T57" r:id="rId28"/>
    <hyperlink xmlns:r="http://schemas.openxmlformats.org/officeDocument/2006/relationships" ref="T59" r:id="rId29"/>
    <hyperlink xmlns:r="http://schemas.openxmlformats.org/officeDocument/2006/relationships" ref="T60" r:id="rId30"/>
    <hyperlink xmlns:r="http://schemas.openxmlformats.org/officeDocument/2006/relationships" ref="T62" r:id="rId31"/>
    <hyperlink xmlns:r="http://schemas.openxmlformats.org/officeDocument/2006/relationships" ref="T66" r:id="rId32"/>
    <hyperlink xmlns:r="http://schemas.openxmlformats.org/officeDocument/2006/relationships" ref="T67" r:id="rId33"/>
    <hyperlink xmlns:r="http://schemas.openxmlformats.org/officeDocument/2006/relationships" ref="T69" r:id="rId34"/>
    <hyperlink xmlns:r="http://schemas.openxmlformats.org/officeDocument/2006/relationships" ref="T70" r:id="rId35"/>
    <hyperlink xmlns:r="http://schemas.openxmlformats.org/officeDocument/2006/relationships" ref="T74" r:id="rId36"/>
    <hyperlink xmlns:r="http://schemas.openxmlformats.org/officeDocument/2006/relationships" ref="T75" r:id="rId37"/>
    <hyperlink xmlns:r="http://schemas.openxmlformats.org/officeDocument/2006/relationships" ref="T76" r:id="rId38"/>
    <hyperlink xmlns:r="http://schemas.openxmlformats.org/officeDocument/2006/relationships" ref="T77" r:id="rId39"/>
    <hyperlink xmlns:r="http://schemas.openxmlformats.org/officeDocument/2006/relationships" ref="T78" r:id="rId40"/>
    <hyperlink xmlns:r="http://schemas.openxmlformats.org/officeDocument/2006/relationships" ref="T80" r:id="rId41"/>
    <hyperlink xmlns:r="http://schemas.openxmlformats.org/officeDocument/2006/relationships" ref="T81" r:id="rId42"/>
    <hyperlink xmlns:r="http://schemas.openxmlformats.org/officeDocument/2006/relationships" ref="T85" r:id="rId43"/>
    <hyperlink xmlns:r="http://schemas.openxmlformats.org/officeDocument/2006/relationships" ref="T86" r:id="rId44"/>
    <hyperlink xmlns:r="http://schemas.openxmlformats.org/officeDocument/2006/relationships" ref="T87" r:id="rId45"/>
    <hyperlink xmlns:r="http://schemas.openxmlformats.org/officeDocument/2006/relationships" ref="T90" r:id="rId46"/>
    <hyperlink xmlns:r="http://schemas.openxmlformats.org/officeDocument/2006/relationships" ref="T98" r:id="rId47"/>
    <hyperlink xmlns:r="http://schemas.openxmlformats.org/officeDocument/2006/relationships" ref="T99" r:id="rId48"/>
    <hyperlink xmlns:r="http://schemas.openxmlformats.org/officeDocument/2006/relationships" ref="T100" r:id="rId49"/>
    <hyperlink xmlns:r="http://schemas.openxmlformats.org/officeDocument/2006/relationships" ref="T101" r:id="rId50"/>
    <hyperlink xmlns:r="http://schemas.openxmlformats.org/officeDocument/2006/relationships" ref="T102" r:id="rId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2026-10-22T17:55:00Z</dcterms:created>
  <dcterms:modified xsi:type="dcterms:W3CDTF">2026-10-25T11:55:34Z</dcterms:modified>
</cp:coreProperties>
</file>